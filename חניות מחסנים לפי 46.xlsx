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indows.old\Users\Public\VUE\Diary\"/>
    </mc:Choice>
  </mc:AlternateContent>
  <xr:revisionPtr revIDLastSave="0" documentId="13_ncr:1_{A451AC40-053F-4B1F-94CE-ACADC5FE9D4A}" xr6:coauthVersionLast="47" xr6:coauthVersionMax="47" xr10:uidLastSave="{00000000-0000-0000-0000-000000000000}"/>
  <bookViews>
    <workbookView xWindow="-120" yWindow="-120" windowWidth="29040" windowHeight="15720" xr2:uid="{BB8688BD-7451-4F80-A525-8F996C9DD183}"/>
  </bookViews>
  <sheets>
    <sheet name="דשבורד" sheetId="1" r:id="rId1"/>
  </sheets>
  <externalReferences>
    <externalReference r:id="rId2"/>
  </externalReferences>
  <definedNames>
    <definedName name="_xlnm._FilterDatabase" localSheetId="0" hidden="1">דשבורד!$A$1:$M$64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4" i="1" l="1"/>
  <c r="K64" i="1"/>
  <c r="J64" i="1"/>
  <c r="I64" i="1"/>
  <c r="H64" i="1"/>
  <c r="G64" i="1"/>
  <c r="F64" i="1"/>
  <c r="E64" i="1"/>
  <c r="D64" i="1"/>
  <c r="C64" i="1"/>
  <c r="L63" i="1"/>
  <c r="K63" i="1"/>
  <c r="J63" i="1"/>
  <c r="I63" i="1"/>
  <c r="H63" i="1"/>
  <c r="G63" i="1"/>
  <c r="F63" i="1"/>
  <c r="E63" i="1"/>
  <c r="D63" i="1"/>
  <c r="C63" i="1"/>
  <c r="L62" i="1"/>
  <c r="K62" i="1"/>
  <c r="J62" i="1"/>
  <c r="I62" i="1"/>
  <c r="H62" i="1"/>
  <c r="G62" i="1"/>
  <c r="F62" i="1"/>
  <c r="E62" i="1"/>
  <c r="D62" i="1"/>
  <c r="C62" i="1"/>
  <c r="L61" i="1"/>
  <c r="K61" i="1"/>
  <c r="J61" i="1"/>
  <c r="I61" i="1"/>
  <c r="H61" i="1"/>
  <c r="G61" i="1"/>
  <c r="F61" i="1"/>
  <c r="E61" i="1"/>
  <c r="D61" i="1"/>
  <c r="C61" i="1"/>
  <c r="L60" i="1"/>
  <c r="K60" i="1"/>
  <c r="J60" i="1"/>
  <c r="I60" i="1"/>
  <c r="H60" i="1"/>
  <c r="G60" i="1"/>
  <c r="F60" i="1"/>
  <c r="E60" i="1"/>
  <c r="D60" i="1"/>
  <c r="C60" i="1"/>
  <c r="L59" i="1"/>
  <c r="K59" i="1"/>
  <c r="J59" i="1"/>
  <c r="I59" i="1"/>
  <c r="H59" i="1"/>
  <c r="G59" i="1"/>
  <c r="F59" i="1"/>
  <c r="E59" i="1"/>
  <c r="D59" i="1"/>
  <c r="C59" i="1"/>
  <c r="L58" i="1"/>
  <c r="K58" i="1"/>
  <c r="J58" i="1"/>
  <c r="I58" i="1"/>
  <c r="H58" i="1"/>
  <c r="G58" i="1"/>
  <c r="F58" i="1"/>
  <c r="E58" i="1"/>
  <c r="D58" i="1"/>
  <c r="C58" i="1"/>
  <c r="L57" i="1"/>
  <c r="K57" i="1"/>
  <c r="J57" i="1"/>
  <c r="I57" i="1"/>
  <c r="H57" i="1"/>
  <c r="G57" i="1"/>
  <c r="F57" i="1"/>
  <c r="E57" i="1"/>
  <c r="D57" i="1"/>
  <c r="C57" i="1"/>
  <c r="L56" i="1"/>
  <c r="K56" i="1"/>
  <c r="J56" i="1"/>
  <c r="I56" i="1"/>
  <c r="H56" i="1"/>
  <c r="G56" i="1"/>
  <c r="F56" i="1"/>
  <c r="E56" i="1"/>
  <c r="D56" i="1"/>
  <c r="C56" i="1"/>
  <c r="L55" i="1"/>
  <c r="K55" i="1"/>
  <c r="J55" i="1"/>
  <c r="I55" i="1"/>
  <c r="H55" i="1"/>
  <c r="G55" i="1"/>
  <c r="F55" i="1"/>
  <c r="E55" i="1"/>
  <c r="D55" i="1"/>
  <c r="C55" i="1"/>
  <c r="L54" i="1"/>
  <c r="K54" i="1"/>
  <c r="J54" i="1"/>
  <c r="I54" i="1"/>
  <c r="H54" i="1"/>
  <c r="G54" i="1"/>
  <c r="F54" i="1"/>
  <c r="E54" i="1"/>
  <c r="D54" i="1"/>
  <c r="C54" i="1"/>
  <c r="L53" i="1"/>
  <c r="K53" i="1"/>
  <c r="J53" i="1"/>
  <c r="I53" i="1"/>
  <c r="H53" i="1"/>
  <c r="G53" i="1"/>
  <c r="F53" i="1"/>
  <c r="E53" i="1"/>
  <c r="D53" i="1"/>
  <c r="C53" i="1"/>
  <c r="L52" i="1"/>
  <c r="K52" i="1"/>
  <c r="J52" i="1"/>
  <c r="I52" i="1"/>
  <c r="H52" i="1"/>
  <c r="G52" i="1"/>
  <c r="F52" i="1"/>
  <c r="E52" i="1"/>
  <c r="D52" i="1"/>
  <c r="C52" i="1"/>
  <c r="L51" i="1"/>
  <c r="K51" i="1"/>
  <c r="J51" i="1"/>
  <c r="I51" i="1"/>
  <c r="H51" i="1"/>
  <c r="G51" i="1"/>
  <c r="F51" i="1"/>
  <c r="E51" i="1"/>
  <c r="D51" i="1"/>
  <c r="C51" i="1"/>
  <c r="L50" i="1"/>
  <c r="K50" i="1"/>
  <c r="J50" i="1"/>
  <c r="I50" i="1"/>
  <c r="H50" i="1"/>
  <c r="G50" i="1"/>
  <c r="F50" i="1"/>
  <c r="E50" i="1"/>
  <c r="D50" i="1"/>
  <c r="C50" i="1"/>
  <c r="L49" i="1"/>
  <c r="K49" i="1"/>
  <c r="J49" i="1"/>
  <c r="I49" i="1"/>
  <c r="H49" i="1"/>
  <c r="G49" i="1"/>
  <c r="F49" i="1"/>
  <c r="E49" i="1"/>
  <c r="D49" i="1"/>
  <c r="C49" i="1"/>
  <c r="L48" i="1"/>
  <c r="K48" i="1"/>
  <c r="J48" i="1"/>
  <c r="I48" i="1"/>
  <c r="H48" i="1"/>
  <c r="G48" i="1"/>
  <c r="F48" i="1"/>
  <c r="E48" i="1"/>
  <c r="D48" i="1"/>
  <c r="C48" i="1"/>
  <c r="L47" i="1"/>
  <c r="K47" i="1"/>
  <c r="J47" i="1"/>
  <c r="I47" i="1"/>
  <c r="H47" i="1"/>
  <c r="G47" i="1"/>
  <c r="F47" i="1"/>
  <c r="E47" i="1"/>
  <c r="D47" i="1"/>
  <c r="C47" i="1"/>
  <c r="L46" i="1"/>
  <c r="K46" i="1"/>
  <c r="J46" i="1"/>
  <c r="I46" i="1"/>
  <c r="H46" i="1"/>
  <c r="G46" i="1"/>
  <c r="F46" i="1"/>
  <c r="E46" i="1"/>
  <c r="D46" i="1"/>
  <c r="C46" i="1"/>
  <c r="L45" i="1"/>
  <c r="K45" i="1"/>
  <c r="J45" i="1"/>
  <c r="I45" i="1"/>
  <c r="H45" i="1"/>
  <c r="G45" i="1"/>
  <c r="F45" i="1"/>
  <c r="E45" i="1"/>
  <c r="D45" i="1"/>
  <c r="C45" i="1"/>
  <c r="L44" i="1"/>
  <c r="K44" i="1"/>
  <c r="J44" i="1"/>
  <c r="I44" i="1"/>
  <c r="H44" i="1"/>
  <c r="G44" i="1"/>
  <c r="F44" i="1"/>
  <c r="E44" i="1"/>
  <c r="D44" i="1"/>
  <c r="C44" i="1"/>
  <c r="L43" i="1"/>
  <c r="K43" i="1"/>
  <c r="J43" i="1"/>
  <c r="I43" i="1"/>
  <c r="H43" i="1"/>
  <c r="G43" i="1"/>
  <c r="F43" i="1"/>
  <c r="E43" i="1"/>
  <c r="D43" i="1"/>
  <c r="C43" i="1"/>
  <c r="L42" i="1"/>
  <c r="K42" i="1"/>
  <c r="J42" i="1"/>
  <c r="I42" i="1"/>
  <c r="H42" i="1"/>
  <c r="G42" i="1"/>
  <c r="F42" i="1"/>
  <c r="E42" i="1"/>
  <c r="D42" i="1"/>
  <c r="C42" i="1"/>
  <c r="L41" i="1"/>
  <c r="K41" i="1"/>
  <c r="J41" i="1"/>
  <c r="I41" i="1"/>
  <c r="H41" i="1"/>
  <c r="G41" i="1"/>
  <c r="F41" i="1"/>
  <c r="E41" i="1"/>
  <c r="D41" i="1"/>
  <c r="C41" i="1"/>
  <c r="L40" i="1"/>
  <c r="K40" i="1"/>
  <c r="J40" i="1"/>
  <c r="I40" i="1"/>
  <c r="H40" i="1"/>
  <c r="G40" i="1"/>
  <c r="F40" i="1"/>
  <c r="E40" i="1"/>
  <c r="D40" i="1"/>
  <c r="C40" i="1"/>
  <c r="L39" i="1"/>
  <c r="K39" i="1"/>
  <c r="J39" i="1"/>
  <c r="I39" i="1"/>
  <c r="H39" i="1"/>
  <c r="G39" i="1"/>
  <c r="F39" i="1"/>
  <c r="E39" i="1"/>
  <c r="D39" i="1"/>
  <c r="C39" i="1"/>
  <c r="L38" i="1"/>
  <c r="K38" i="1"/>
  <c r="J38" i="1"/>
  <c r="I38" i="1"/>
  <c r="H38" i="1"/>
  <c r="G38" i="1"/>
  <c r="F38" i="1"/>
  <c r="E38" i="1"/>
  <c r="D38" i="1"/>
  <c r="C38" i="1"/>
  <c r="L37" i="1"/>
  <c r="K37" i="1"/>
  <c r="J37" i="1"/>
  <c r="I37" i="1"/>
  <c r="H37" i="1"/>
  <c r="G37" i="1"/>
  <c r="F37" i="1"/>
  <c r="E37" i="1"/>
  <c r="D37" i="1"/>
  <c r="C37" i="1"/>
  <c r="L36" i="1"/>
  <c r="K36" i="1"/>
  <c r="J36" i="1"/>
  <c r="I36" i="1"/>
  <c r="H36" i="1"/>
  <c r="G36" i="1"/>
  <c r="F36" i="1"/>
  <c r="E36" i="1"/>
  <c r="D36" i="1"/>
  <c r="C36" i="1"/>
  <c r="L35" i="1"/>
  <c r="K35" i="1"/>
  <c r="J35" i="1"/>
  <c r="I35" i="1"/>
  <c r="H35" i="1"/>
  <c r="G35" i="1"/>
  <c r="F35" i="1"/>
  <c r="E35" i="1"/>
  <c r="D35" i="1"/>
  <c r="C35" i="1"/>
  <c r="L34" i="1"/>
  <c r="K34" i="1"/>
  <c r="J34" i="1"/>
  <c r="I34" i="1"/>
  <c r="H34" i="1"/>
  <c r="G34" i="1"/>
  <c r="F34" i="1"/>
  <c r="E34" i="1"/>
  <c r="D34" i="1"/>
  <c r="C34" i="1"/>
  <c r="L33" i="1"/>
  <c r="K33" i="1"/>
  <c r="J33" i="1"/>
  <c r="I33" i="1"/>
  <c r="H33" i="1"/>
  <c r="G33" i="1"/>
  <c r="F33" i="1"/>
  <c r="E33" i="1"/>
  <c r="D33" i="1"/>
  <c r="C33" i="1"/>
  <c r="L32" i="1"/>
  <c r="K32" i="1"/>
  <c r="J32" i="1"/>
  <c r="I32" i="1"/>
  <c r="H32" i="1"/>
  <c r="G32" i="1"/>
  <c r="F32" i="1"/>
  <c r="E32" i="1"/>
  <c r="D32" i="1"/>
  <c r="C32" i="1"/>
  <c r="L31" i="1"/>
  <c r="K31" i="1"/>
  <c r="J31" i="1"/>
  <c r="I31" i="1"/>
  <c r="H31" i="1"/>
  <c r="G31" i="1"/>
  <c r="F31" i="1"/>
  <c r="E31" i="1"/>
  <c r="D31" i="1"/>
  <c r="C31" i="1"/>
  <c r="L30" i="1"/>
  <c r="K30" i="1"/>
  <c r="J30" i="1"/>
  <c r="I30" i="1"/>
  <c r="H30" i="1"/>
  <c r="G30" i="1"/>
  <c r="F30" i="1"/>
  <c r="E30" i="1"/>
  <c r="D30" i="1"/>
  <c r="C30" i="1"/>
  <c r="L29" i="1"/>
  <c r="K29" i="1"/>
  <c r="J29" i="1"/>
  <c r="I29" i="1"/>
  <c r="H29" i="1"/>
  <c r="G29" i="1"/>
  <c r="F29" i="1"/>
  <c r="E29" i="1"/>
  <c r="D29" i="1"/>
  <c r="C29" i="1"/>
  <c r="L28" i="1"/>
  <c r="K28" i="1"/>
  <c r="J28" i="1"/>
  <c r="I28" i="1"/>
  <c r="H28" i="1"/>
  <c r="G28" i="1"/>
  <c r="F28" i="1"/>
  <c r="E28" i="1"/>
  <c r="D28" i="1"/>
  <c r="C28" i="1"/>
  <c r="L27" i="1"/>
  <c r="K27" i="1"/>
  <c r="J27" i="1"/>
  <c r="I27" i="1"/>
  <c r="H27" i="1"/>
  <c r="G27" i="1"/>
  <c r="F27" i="1"/>
  <c r="E27" i="1"/>
  <c r="D27" i="1"/>
  <c r="C27" i="1"/>
  <c r="L26" i="1"/>
  <c r="K26" i="1"/>
  <c r="J26" i="1"/>
  <c r="I26" i="1"/>
  <c r="H26" i="1"/>
  <c r="G26" i="1"/>
  <c r="F26" i="1"/>
  <c r="E26" i="1"/>
  <c r="D26" i="1"/>
  <c r="C26" i="1"/>
  <c r="L25" i="1"/>
  <c r="K25" i="1"/>
  <c r="J25" i="1"/>
  <c r="I25" i="1"/>
  <c r="H25" i="1"/>
  <c r="G25" i="1"/>
  <c r="F25" i="1"/>
  <c r="E25" i="1"/>
  <c r="D25" i="1"/>
  <c r="C25" i="1"/>
  <c r="L24" i="1"/>
  <c r="K24" i="1"/>
  <c r="J24" i="1"/>
  <c r="I24" i="1"/>
  <c r="H24" i="1"/>
  <c r="G24" i="1"/>
  <c r="F24" i="1"/>
  <c r="E24" i="1"/>
  <c r="D24" i="1"/>
  <c r="C24" i="1"/>
  <c r="L23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L16" i="1"/>
  <c r="K16" i="1"/>
  <c r="J16" i="1"/>
  <c r="I16" i="1"/>
  <c r="H16" i="1"/>
  <c r="G16" i="1"/>
  <c r="F16" i="1"/>
  <c r="E16" i="1"/>
  <c r="D16" i="1"/>
  <c r="C16" i="1"/>
  <c r="L15" i="1"/>
  <c r="K15" i="1"/>
  <c r="J15" i="1"/>
  <c r="I15" i="1"/>
  <c r="H15" i="1"/>
  <c r="G15" i="1"/>
  <c r="F15" i="1"/>
  <c r="E15" i="1"/>
  <c r="D15" i="1"/>
  <c r="C15" i="1"/>
  <c r="L14" i="1"/>
  <c r="K14" i="1"/>
  <c r="J14" i="1"/>
  <c r="I14" i="1"/>
  <c r="H14" i="1"/>
  <c r="G14" i="1"/>
  <c r="F14" i="1"/>
  <c r="E14" i="1"/>
  <c r="D14" i="1"/>
  <c r="C14" i="1"/>
  <c r="L13" i="1"/>
  <c r="K13" i="1"/>
  <c r="J13" i="1"/>
  <c r="I13" i="1"/>
  <c r="H13" i="1"/>
  <c r="G13" i="1"/>
  <c r="F13" i="1"/>
  <c r="E13" i="1"/>
  <c r="D13" i="1"/>
  <c r="C13" i="1"/>
  <c r="L12" i="1"/>
  <c r="K12" i="1"/>
  <c r="J12" i="1"/>
  <c r="I12" i="1"/>
  <c r="H12" i="1"/>
  <c r="G12" i="1"/>
  <c r="F12" i="1"/>
  <c r="E12" i="1"/>
  <c r="D12" i="1"/>
  <c r="C12" i="1"/>
  <c r="L11" i="1"/>
  <c r="K11" i="1"/>
  <c r="J11" i="1"/>
  <c r="I11" i="1"/>
  <c r="H11" i="1"/>
  <c r="G11" i="1"/>
  <c r="F11" i="1"/>
  <c r="E11" i="1"/>
  <c r="D11" i="1"/>
  <c r="C11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I9" i="1"/>
  <c r="H9" i="1"/>
  <c r="G9" i="1"/>
  <c r="F9" i="1"/>
  <c r="E9" i="1"/>
  <c r="D9" i="1"/>
  <c r="C9" i="1"/>
  <c r="L8" i="1"/>
  <c r="K8" i="1"/>
  <c r="J8" i="1"/>
  <c r="I8" i="1"/>
  <c r="H8" i="1"/>
  <c r="G8" i="1"/>
  <c r="F8" i="1"/>
  <c r="E8" i="1"/>
  <c r="D8" i="1"/>
  <c r="C8" i="1"/>
  <c r="L7" i="1"/>
  <c r="K7" i="1"/>
  <c r="J7" i="1"/>
  <c r="I7" i="1"/>
  <c r="H7" i="1"/>
  <c r="G7" i="1"/>
  <c r="F7" i="1"/>
  <c r="E7" i="1"/>
  <c r="D7" i="1"/>
  <c r="C7" i="1"/>
  <c r="L6" i="1"/>
  <c r="K6" i="1"/>
  <c r="J6" i="1"/>
  <c r="I6" i="1"/>
  <c r="H6" i="1"/>
  <c r="G6" i="1"/>
  <c r="F6" i="1"/>
  <c r="E6" i="1"/>
  <c r="D6" i="1"/>
  <c r="C6" i="1"/>
  <c r="L5" i="1"/>
  <c r="K5" i="1"/>
  <c r="J5" i="1"/>
  <c r="I5" i="1"/>
  <c r="H5" i="1"/>
  <c r="G5" i="1"/>
  <c r="F5" i="1"/>
  <c r="E5" i="1"/>
  <c r="D5" i="1"/>
  <c r="C5" i="1"/>
  <c r="L4" i="1"/>
  <c r="K4" i="1"/>
  <c r="J4" i="1"/>
  <c r="I4" i="1"/>
  <c r="H4" i="1"/>
  <c r="G4" i="1"/>
  <c r="F4" i="1"/>
  <c r="E4" i="1"/>
  <c r="D4" i="1"/>
  <c r="C4" i="1"/>
  <c r="L3" i="1"/>
  <c r="K3" i="1"/>
  <c r="J3" i="1"/>
  <c r="I3" i="1"/>
  <c r="H3" i="1"/>
  <c r="G3" i="1"/>
  <c r="F3" i="1"/>
  <c r="E3" i="1"/>
  <c r="D3" i="1"/>
  <c r="C3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<sst xmlns="http://schemas.openxmlformats.org/spreadsheetml/2006/main" count="76" uniqueCount="28">
  <si>
    <t>floor</t>
  </si>
  <si>
    <t>flatId</t>
  </si>
  <si>
    <t>directions</t>
  </si>
  <si>
    <t>rooms</t>
  </si>
  <si>
    <t>warehouseId</t>
  </si>
  <si>
    <t>warehouseArea</t>
  </si>
  <si>
    <t>parkingId</t>
  </si>
  <si>
    <t>flatArea</t>
  </si>
  <si>
    <t>balconyArea</t>
  </si>
  <si>
    <t>equivalentArea</t>
  </si>
  <si>
    <t>flatPrice</t>
  </si>
  <si>
    <t>status</t>
  </si>
  <si>
    <t>flatChart</t>
  </si>
  <si>
    <t>1XTmCfRZFrb4plxUccn-KU3ighCjYsygO</t>
  </si>
  <si>
    <t>1wOl1UIGqdJg383_-c_cMTUG5yx0XgX5Z</t>
  </si>
  <si>
    <t>1c6Y_hGyiTvVyhuMy44CV-ShhpyqrnZcm</t>
  </si>
  <si>
    <t>1i9Dwo6yOEQYPZaDPqco4mFlGemCRZwHy</t>
  </si>
  <si>
    <t>1i1LQdDPVwsK2mAMOCC1yt6hoNyQQ7wek</t>
  </si>
  <si>
    <t>1PoIh_SoauvSZlbEyCtSepca2Dsq8-HWY</t>
  </si>
  <si>
    <t>1iLsgx_jcr8BK0rI7QSLBE1ZxSH4sv79x</t>
  </si>
  <si>
    <t>1BAmtQzomAb5reMZCM9TwVlqqAPTqQezT</t>
  </si>
  <si>
    <t>1rv-Fpl3VwW-bPCoDHaUNUOHr2ww5Z1wg</t>
  </si>
  <si>
    <t>1iHD6GZGS2I9HpWNJOs4vcKaC2hjHuMUy</t>
  </si>
  <si>
    <t>1iKWq6_Zp_It_3-0RcohzHAWGRddKo8Ts</t>
  </si>
  <si>
    <t>16htn7tXBb5dWKDqBsJTeNwOLYMp34LI7</t>
  </si>
  <si>
    <t>1iTjQM3aiUlwgG6_fbwrNUYpuN_ZDkmFy</t>
  </si>
  <si>
    <t>1KG08jfYI7haJ2fRYLg7BHwQDMA_VLf4O</t>
  </si>
  <si>
    <t>15nwOf_XYXw322MH1ZJtcpMKB--5xkot_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</si>
</sst>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3" fillId="0" borderId="5" xfId="0" applyFont="1" applyBorder="1"/>
    <xf numFmtId="2" fontId="3" fillId="0" borderId="5" xfId="0" applyNumberFormat="1" applyFont="1" applyBorder="1"/>
    <xf numFmtId="1" fontId="3" fillId="0" borderId="5" xfId="0" applyNumberFormat="1" applyFont="1" applyBorder="1"/>
    <xf numFmtId="3" fontId="3" fillId="0" borderId="5" xfId="0" applyNumberFormat="1" applyFont="1" applyBorder="1"/>
    <xf numFmtId="0" fontId="4" fillId="0" borderId="6" xfId="0" applyFont="1" applyBorder="1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2" fontId="3" fillId="0" borderId="8" xfId="0" applyNumberFormat="1" applyFont="1" applyBorder="1"/>
    <xf numFmtId="1" fontId="3" fillId="0" borderId="8" xfId="0" applyNumberFormat="1" applyFont="1" applyBorder="1"/>
    <xf numFmtId="3" fontId="3" fillId="0" borderId="8" xfId="0" applyNumberFormat="1" applyFont="1" applyBorder="1"/>
    <xf numFmtId="0" fontId="4" fillId="0" borderId="9" xfId="0" applyFont="1" applyBorder="1"/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2" fontId="3" fillId="0" borderId="11" xfId="0" applyNumberFormat="1" applyFont="1" applyBorder="1"/>
    <xf numFmtId="1" fontId="3" fillId="0" borderId="11" xfId="0" applyNumberFormat="1" applyFont="1" applyBorder="1"/>
    <xf numFmtId="3" fontId="3" fillId="0" borderId="11" xfId="0" applyNumberFormat="1" applyFont="1" applyBorder="1"/>
    <xf numFmtId="0" fontId="4" fillId="0" borderId="12" xfId="0" applyFont="1" applyBorder="1"/>
    <xf numFmtId="0" fontId="2" fillId="0" borderId="13" xfId="0" applyFont="1" applyBorder="1" applyAlignment="1">
      <alignment horizontal="center"/>
    </xf>
    <xf numFmtId="0" fontId="3" fillId="0" borderId="14" xfId="0" applyFont="1" applyBorder="1"/>
    <xf numFmtId="2" fontId="3" fillId="0" borderId="14" xfId="0" applyNumberFormat="1" applyFont="1" applyBorder="1"/>
    <xf numFmtId="1" fontId="3" fillId="0" borderId="14" xfId="0" applyNumberFormat="1" applyFont="1" applyBorder="1"/>
    <xf numFmtId="3" fontId="3" fillId="0" borderId="14" xfId="0" applyNumberFormat="1" applyFont="1" applyBorder="1"/>
    <xf numFmtId="0" fontId="4" fillId="0" borderId="15" xfId="0" applyFont="1" applyBorder="1"/>
    <xf numFmtId="0" fontId="2" fillId="0" borderId="16" xfId="0" applyFont="1" applyBorder="1" applyAlignment="1">
      <alignment horizontal="center"/>
    </xf>
    <xf numFmtId="0" fontId="3" fillId="0" borderId="17" xfId="0" applyFont="1" applyBorder="1"/>
    <xf numFmtId="2" fontId="3" fillId="0" borderId="17" xfId="0" applyNumberFormat="1" applyFont="1" applyBorder="1"/>
    <xf numFmtId="1" fontId="3" fillId="0" borderId="17" xfId="0" applyNumberFormat="1" applyFont="1" applyBorder="1"/>
    <xf numFmtId="3" fontId="3" fillId="0" borderId="17" xfId="0" applyNumberFormat="1" applyFont="1" applyBorder="1"/>
    <xf numFmtId="0" fontId="4" fillId="0" borderId="18" xfId="0" applyFont="1" applyBorder="1"/>
  </cellXfs>
  <cellStyles count="1">
    <cellStyle name="Normal" xfId="0" builtinId="0"/>
  </cellStyles>
  <dxfs count="1">
    <dxf>
      <fill>
        <patternFill patternType="solid">
          <fgColor rgb="FFF4B083"/>
          <bgColor rgb="FFF4B08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GoogleDrive/Work3/04%20-%20&#1490;&#1491;&#1493;&#1514;%20&#1508;&#1514;&#1495;%20&#1514;&#1511;&#1493;&#1493;&#1492;/&#1502;&#1499;&#1497;&#1512;&#1493;&#1514;/&#1502;&#1495;&#1497;&#1512;&#1493;&#1504;&#1497;&#1501;/&#1502;&#1495;&#1497;&#1512;&#1493;&#1503;%2046.xlsx" TargetMode="External"/><Relationship Id="rId2" Type="http://schemas.openxmlformats.org/officeDocument/2006/relationships/externalLinkPath" Target="file:///C:\GoogleDrive\Work3\04%20-%20&#1490;&#1491;&#1493;&#1514;%20&#1508;&#1514;&#1495;%20&#1514;&#1511;&#1493;&#1493;&#1492;\&#1502;&#1499;&#1497;&#1512;&#1493;&#1514;\&#1502;&#1495;&#1497;&#1512;&#1493;&#1504;&#1497;&#1501;\&#1502;&#1495;&#1497;&#1512;&#1493;&#1503;%2046.xlsx" TargetMode="External"/><Relationship Id="rId1" Type="http://schemas.openxmlformats.org/officeDocument/2006/relationships/externalLinkPath" Target="/GoogleDrive/Work3/04%20-%20&#1490;&#1491;&#1493;&#1514;%20&#1508;&#1514;&#1495;%20&#1514;&#1511;&#1493;&#1493;&#1492;/&#1502;&#1499;&#1497;&#1512;&#1493;&#1514;/&#1502;&#1495;&#1497;&#1512;&#1493;&#1504;&#1497;&#1501;/&#1502;&#1495;&#1497;&#1512;&#1493;&#1503;%204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ce"/>
      <sheetName val="דשבורד"/>
      <sheetName val="מחסנים"/>
      <sheetName val="רישום בטאבו"/>
      <sheetName val="השוואת דירות"/>
      <sheetName val="השוואת לידים"/>
      <sheetName val="לקוחות פוטנציאלים"/>
      <sheetName val="סקר דירות ספטמבר 2023"/>
      <sheetName val="מחסנים - גיבוי"/>
      <sheetName val="מחסנים גיבוי 26.09.25"/>
      <sheetName val="מחסנים גיבוי 13.12.25"/>
      <sheetName val="מחסנים לפני שינוי ממד - לא תקין"/>
      <sheetName val="מחסנים לפני שינוי חניה לדירה 48"/>
    </sheetNames>
    <sheetDataSet>
      <sheetData sheetId="0">
        <row r="10">
          <cell r="A10">
            <v>1</v>
          </cell>
          <cell r="B10" t="str">
            <v>N0-G01</v>
          </cell>
          <cell r="C10" t="str">
            <v>צפון מזרח</v>
          </cell>
          <cell r="D10">
            <v>5</v>
          </cell>
          <cell r="E10">
            <v>23</v>
          </cell>
          <cell r="F10">
            <v>4.5</v>
          </cell>
          <cell r="G10">
            <v>4</v>
          </cell>
          <cell r="H10">
            <v>130</v>
          </cell>
          <cell r="I10">
            <v>157</v>
          </cell>
          <cell r="J10">
            <v>183</v>
          </cell>
          <cell r="K10">
            <v>4442000</v>
          </cell>
          <cell r="L10">
            <v>24590.163929999999</v>
          </cell>
          <cell r="M10">
            <v>4500000</v>
          </cell>
          <cell r="N10"/>
          <cell r="O10"/>
          <cell r="P10"/>
          <cell r="Q10"/>
          <cell r="R10" t="str">
            <v>0.17/0.18</v>
          </cell>
          <cell r="S10">
            <v>0</v>
          </cell>
          <cell r="T10" t="str">
            <v/>
          </cell>
          <cell r="U10"/>
          <cell r="V10"/>
          <cell r="W10"/>
        </row>
        <row r="11">
          <cell r="A11">
            <v>2</v>
          </cell>
          <cell r="B11" t="str">
            <v>N1-A02</v>
          </cell>
          <cell r="C11" t="str">
            <v>צפון מזרח</v>
          </cell>
          <cell r="D11">
            <v>4</v>
          </cell>
          <cell r="E11">
            <v>41</v>
          </cell>
          <cell r="F11">
            <v>3.5</v>
          </cell>
          <cell r="G11">
            <v>41</v>
          </cell>
          <cell r="H11">
            <v>88</v>
          </cell>
          <cell r="I11">
            <v>15</v>
          </cell>
          <cell r="J11">
            <v>93</v>
          </cell>
          <cell r="K11">
            <v>2232000</v>
          </cell>
          <cell r="L11">
            <v>25430.107530000001</v>
          </cell>
          <cell r="M11">
            <v>2365000</v>
          </cell>
          <cell r="N11">
            <v>24640.637139999999</v>
          </cell>
          <cell r="O11">
            <v>2150000</v>
          </cell>
          <cell r="P11">
            <v>2168376.0683760685</v>
          </cell>
          <cell r="Q11">
            <v>2350000</v>
          </cell>
          <cell r="R11">
            <v>2008547.0090000001</v>
          </cell>
          <cell r="S11">
            <v>181623.93160000001</v>
          </cell>
          <cell r="T11">
            <v>8.3760346870000002E-2</v>
          </cell>
          <cell r="U11">
            <v>9.0677966099999993E-2</v>
          </cell>
          <cell r="V11">
            <v>2350000</v>
          </cell>
          <cell r="W11" t="str">
            <v>חבצלת</v>
          </cell>
        </row>
        <row r="12">
          <cell r="A12">
            <v>3</v>
          </cell>
          <cell r="B12" t="str">
            <v>N1-B03</v>
          </cell>
          <cell r="C12" t="str">
            <v>דרום מזרח</v>
          </cell>
          <cell r="D12">
            <v>4</v>
          </cell>
          <cell r="E12">
            <v>40</v>
          </cell>
          <cell r="F12">
            <v>2.5</v>
          </cell>
          <cell r="G12">
            <v>42</v>
          </cell>
          <cell r="H12">
            <v>88</v>
          </cell>
          <cell r="I12">
            <v>15</v>
          </cell>
          <cell r="J12">
            <v>93</v>
          </cell>
          <cell r="K12">
            <v>2232000</v>
          </cell>
          <cell r="L12">
            <v>25053.763439999999</v>
          </cell>
          <cell r="M12">
            <v>2330000</v>
          </cell>
          <cell r="N12">
            <v>24640.637139999999</v>
          </cell>
          <cell r="O12">
            <v>2150000</v>
          </cell>
          <cell r="P12">
            <v>2168376.0683760685</v>
          </cell>
          <cell r="Q12">
            <v>2220000</v>
          </cell>
          <cell r="R12">
            <v>1897435.8970000001</v>
          </cell>
          <cell r="S12">
            <v>51623.931620000003</v>
          </cell>
          <cell r="T12">
            <v>2.3807646830000001E-2</v>
          </cell>
          <cell r="U12">
            <v>7.4536854550000003E-2</v>
          </cell>
          <cell r="V12">
            <v>2220000</v>
          </cell>
          <cell r="W12" t="str">
            <v>בסיל</v>
          </cell>
        </row>
        <row r="13">
          <cell r="A13">
            <v>4</v>
          </cell>
          <cell r="B13" t="str">
            <v>N1-C04</v>
          </cell>
          <cell r="C13" t="str">
            <v>דרום מערב</v>
          </cell>
          <cell r="D13">
            <v>4</v>
          </cell>
          <cell r="E13">
            <v>39</v>
          </cell>
          <cell r="F13">
            <v>3.5</v>
          </cell>
          <cell r="G13">
            <v>43</v>
          </cell>
          <cell r="H13">
            <v>93</v>
          </cell>
          <cell r="I13">
            <v>15</v>
          </cell>
          <cell r="J13">
            <v>98</v>
          </cell>
          <cell r="K13">
            <v>2352000</v>
          </cell>
          <cell r="L13">
            <v>26448.979589999999</v>
          </cell>
          <cell r="M13">
            <v>2592000</v>
          </cell>
          <cell r="N13">
            <v>24617.222679999999</v>
          </cell>
          <cell r="O13">
            <v>2270000</v>
          </cell>
          <cell r="P13">
            <v>2289401.7094017095</v>
          </cell>
          <cell r="Q13">
            <v>2380000</v>
          </cell>
          <cell r="R13">
            <v>2034188.034</v>
          </cell>
          <cell r="S13">
            <v>90598.290599999993</v>
          </cell>
          <cell r="T13">
            <v>3.957291122E-2</v>
          </cell>
          <cell r="U13">
            <v>0.1321735235</v>
          </cell>
          <cell r="V13">
            <v>2380000</v>
          </cell>
          <cell r="W13" t="str">
            <v>אבוטבול</v>
          </cell>
        </row>
        <row r="14">
          <cell r="A14">
            <v>5</v>
          </cell>
          <cell r="B14" t="str">
            <v>N1-D05</v>
          </cell>
          <cell r="C14" t="str">
            <v>צפון מערב</v>
          </cell>
          <cell r="D14">
            <v>3</v>
          </cell>
          <cell r="E14">
            <v>30</v>
          </cell>
          <cell r="F14">
            <v>3</v>
          </cell>
          <cell r="G14">
            <v>40</v>
          </cell>
          <cell r="H14">
            <v>81</v>
          </cell>
          <cell r="I14">
            <v>15</v>
          </cell>
          <cell r="J14">
            <v>86</v>
          </cell>
          <cell r="K14">
            <v>2064000</v>
          </cell>
          <cell r="L14">
            <v>26790.697670000001</v>
          </cell>
          <cell r="M14">
            <v>2304000</v>
          </cell>
          <cell r="N14">
            <v>25151.41923</v>
          </cell>
          <cell r="O14">
            <v>2020000</v>
          </cell>
          <cell r="P14">
            <v>2037264.9572649573</v>
          </cell>
          <cell r="Q14">
            <v>2042000</v>
          </cell>
          <cell r="R14">
            <v>1745299.145</v>
          </cell>
          <cell r="S14">
            <v>4735.042735</v>
          </cell>
          <cell r="T14">
            <v>2.324215472E-3</v>
          </cell>
          <cell r="U14">
            <v>0.13092800809999999</v>
          </cell>
          <cell r="V14">
            <v>2042000</v>
          </cell>
          <cell r="W14" t="str">
            <v>דקל</v>
          </cell>
        </row>
        <row r="15">
          <cell r="A15">
            <v>6</v>
          </cell>
          <cell r="B15" t="str">
            <v>N2-A06</v>
          </cell>
          <cell r="C15" t="str">
            <v>צפון מזרח</v>
          </cell>
          <cell r="D15">
            <v>4</v>
          </cell>
          <cell r="E15">
            <v>44</v>
          </cell>
          <cell r="F15">
            <v>3.5</v>
          </cell>
          <cell r="G15">
            <v>21</v>
          </cell>
          <cell r="H15">
            <v>88</v>
          </cell>
          <cell r="I15">
            <v>15</v>
          </cell>
          <cell r="J15">
            <v>93</v>
          </cell>
          <cell r="K15">
            <v>2232000</v>
          </cell>
          <cell r="L15">
            <v>25860.215049999999</v>
          </cell>
          <cell r="M15">
            <v>2405000</v>
          </cell>
          <cell r="N15">
            <v>24869.852370000001</v>
          </cell>
          <cell r="O15">
            <v>2170000</v>
          </cell>
          <cell r="P15">
            <v>2188547.0085470085</v>
          </cell>
          <cell r="Q15">
            <v>2289000</v>
          </cell>
          <cell r="R15">
            <v>1956410.2560000001</v>
          </cell>
          <cell r="S15">
            <v>100452.9915</v>
          </cell>
          <cell r="T15">
            <v>4.589939858E-2</v>
          </cell>
          <cell r="U15">
            <v>9.8902600950000003E-2</v>
          </cell>
          <cell r="V15">
            <v>2289000</v>
          </cell>
          <cell r="W15" t="str">
            <v>פטיצקי</v>
          </cell>
        </row>
        <row r="16">
          <cell r="A16">
            <v>7</v>
          </cell>
          <cell r="B16" t="str">
            <v>N2-B07</v>
          </cell>
          <cell r="C16" t="str">
            <v>דרום מזרח</v>
          </cell>
          <cell r="D16">
            <v>4</v>
          </cell>
          <cell r="E16">
            <v>43</v>
          </cell>
          <cell r="F16">
            <v>2.5</v>
          </cell>
          <cell r="G16">
            <v>34</v>
          </cell>
          <cell r="H16">
            <v>88</v>
          </cell>
          <cell r="I16">
            <v>15</v>
          </cell>
          <cell r="J16">
            <v>93</v>
          </cell>
          <cell r="K16">
            <v>2232000</v>
          </cell>
          <cell r="L16">
            <v>25483.87097</v>
          </cell>
          <cell r="M16">
            <v>2370000</v>
          </cell>
          <cell r="N16">
            <v>24869.852370000001</v>
          </cell>
          <cell r="O16">
            <v>2170000</v>
          </cell>
          <cell r="P16">
            <v>2188547.0085470085</v>
          </cell>
          <cell r="Q16">
            <v>2299000</v>
          </cell>
          <cell r="R16">
            <v>1964957.2649999999</v>
          </cell>
          <cell r="S16">
            <v>110452.9915</v>
          </cell>
          <cell r="T16">
            <v>5.0468640160000001E-2</v>
          </cell>
          <cell r="U16">
            <v>8.2910255409999994E-2</v>
          </cell>
          <cell r="V16">
            <v>2299000</v>
          </cell>
          <cell r="W16" t="str">
            <v>דרחי</v>
          </cell>
        </row>
        <row r="17">
          <cell r="A17">
            <v>8</v>
          </cell>
          <cell r="B17" t="str">
            <v>N2-C08</v>
          </cell>
          <cell r="C17" t="str">
            <v>דרום מערב</v>
          </cell>
          <cell r="D17">
            <v>4</v>
          </cell>
          <cell r="E17">
            <v>42</v>
          </cell>
          <cell r="F17">
            <v>3.5</v>
          </cell>
          <cell r="G17">
            <v>3</v>
          </cell>
          <cell r="H17">
            <v>93</v>
          </cell>
          <cell r="I17">
            <v>15</v>
          </cell>
          <cell r="J17">
            <v>98</v>
          </cell>
          <cell r="K17">
            <v>2352000</v>
          </cell>
          <cell r="L17">
            <v>26857.14286</v>
          </cell>
          <cell r="M17">
            <v>2632000</v>
          </cell>
          <cell r="N17">
            <v>24834.114509999999</v>
          </cell>
          <cell r="O17">
            <v>2290000</v>
          </cell>
          <cell r="P17">
            <v>2309572.6495726495</v>
          </cell>
          <cell r="Q17">
            <v>2385000</v>
          </cell>
          <cell r="R17">
            <v>2038461.5379999999</v>
          </cell>
          <cell r="S17">
            <v>75427.350430000006</v>
          </cell>
          <cell r="T17">
            <v>3.2658574490000002E-2</v>
          </cell>
          <cell r="U17">
            <v>0.1396047665</v>
          </cell>
          <cell r="V17">
            <v>2385000</v>
          </cell>
          <cell r="W17" t="str">
            <v>דגרי</v>
          </cell>
        </row>
        <row r="18">
          <cell r="A18">
            <v>9</v>
          </cell>
          <cell r="B18" t="str">
            <v>N2-D09</v>
          </cell>
          <cell r="C18" t="str">
            <v>צפון מערב</v>
          </cell>
          <cell r="D18">
            <v>3</v>
          </cell>
          <cell r="E18">
            <v>29</v>
          </cell>
          <cell r="F18">
            <v>3</v>
          </cell>
          <cell r="G18">
            <v>39</v>
          </cell>
          <cell r="H18">
            <v>81</v>
          </cell>
          <cell r="I18">
            <v>15</v>
          </cell>
          <cell r="J18">
            <v>86</v>
          </cell>
          <cell r="K18">
            <v>2064000</v>
          </cell>
          <cell r="L18">
            <v>27255.81395</v>
          </cell>
          <cell r="M18">
            <v>2344000</v>
          </cell>
          <cell r="N18">
            <v>25400.443179999998</v>
          </cell>
          <cell r="O18">
            <v>2040000</v>
          </cell>
          <cell r="P18">
            <v>2057435.8974358975</v>
          </cell>
          <cell r="Q18">
            <v>2260000</v>
          </cell>
          <cell r="R18">
            <v>1931623.932</v>
          </cell>
          <cell r="S18">
            <v>202564.10260000001</v>
          </cell>
          <cell r="T18">
            <v>9.8454636090000006E-2</v>
          </cell>
          <cell r="U18">
            <v>0.13928215350000001</v>
          </cell>
          <cell r="V18">
            <v>2260000</v>
          </cell>
          <cell r="W18" t="str">
            <v>גליה אליאלי</v>
          </cell>
        </row>
        <row r="19">
          <cell r="A19">
            <v>10</v>
          </cell>
          <cell r="B19" t="str">
            <v>N3-A10</v>
          </cell>
          <cell r="C19" t="str">
            <v>צפון מזרח</v>
          </cell>
          <cell r="D19">
            <v>4</v>
          </cell>
          <cell r="E19">
            <v>47</v>
          </cell>
          <cell r="F19">
            <v>3.5</v>
          </cell>
          <cell r="G19">
            <v>35</v>
          </cell>
          <cell r="H19">
            <v>88</v>
          </cell>
          <cell r="I19">
            <v>15</v>
          </cell>
          <cell r="J19">
            <v>93</v>
          </cell>
          <cell r="K19">
            <v>2232000</v>
          </cell>
          <cell r="L19">
            <v>26290.32258</v>
          </cell>
          <cell r="M19">
            <v>2445000</v>
          </cell>
          <cell r="N19">
            <v>25099.067599999998</v>
          </cell>
          <cell r="O19">
            <v>2190000</v>
          </cell>
          <cell r="P19">
            <v>2208717.948717949</v>
          </cell>
          <cell r="Q19">
            <v>2320000</v>
          </cell>
          <cell r="R19">
            <v>1982905.983</v>
          </cell>
          <cell r="S19">
            <v>111282.05130000001</v>
          </cell>
          <cell r="T19">
            <v>5.0383097279999997E-2</v>
          </cell>
          <cell r="U19">
            <v>0.1069770142</v>
          </cell>
          <cell r="V19">
            <v>2320000</v>
          </cell>
          <cell r="W19" t="str">
            <v>שפינר רם</v>
          </cell>
        </row>
        <row r="20">
          <cell r="A20">
            <v>11</v>
          </cell>
          <cell r="B20" t="str">
            <v>N3-B11</v>
          </cell>
          <cell r="C20" t="str">
            <v>דרום מזרח</v>
          </cell>
          <cell r="D20">
            <v>4</v>
          </cell>
          <cell r="E20">
            <v>46</v>
          </cell>
          <cell r="F20">
            <v>2.5</v>
          </cell>
          <cell r="G20">
            <v>36</v>
          </cell>
          <cell r="H20">
            <v>88</v>
          </cell>
          <cell r="I20">
            <v>15</v>
          </cell>
          <cell r="J20">
            <v>93</v>
          </cell>
          <cell r="K20">
            <v>2232000</v>
          </cell>
          <cell r="L20">
            <v>25913.978490000001</v>
          </cell>
          <cell r="M20">
            <v>2410000</v>
          </cell>
          <cell r="N20">
            <v>25099.067599999998</v>
          </cell>
          <cell r="O20">
            <v>2190000</v>
          </cell>
          <cell r="P20">
            <v>2208717.948717949</v>
          </cell>
          <cell r="Q20">
            <v>2295000</v>
          </cell>
          <cell r="R20">
            <v>1961538.4620000001</v>
          </cell>
          <cell r="S20">
            <v>86282.05128</v>
          </cell>
          <cell r="T20">
            <v>3.9064313910000002E-2</v>
          </cell>
          <cell r="U20">
            <v>9.1130717439999995E-2</v>
          </cell>
          <cell r="V20">
            <v>2295000</v>
          </cell>
          <cell r="W20" t="str">
            <v>אור רפאלי</v>
          </cell>
        </row>
        <row r="21">
          <cell r="A21">
            <v>12</v>
          </cell>
          <cell r="B21" t="str">
            <v>N3-C12</v>
          </cell>
          <cell r="C21" t="str">
            <v>דרום מערב</v>
          </cell>
          <cell r="D21">
            <v>4</v>
          </cell>
          <cell r="E21">
            <v>45</v>
          </cell>
          <cell r="F21">
            <v>3.5</v>
          </cell>
          <cell r="G21">
            <v>64</v>
          </cell>
          <cell r="H21">
            <v>93</v>
          </cell>
          <cell r="I21">
            <v>15</v>
          </cell>
          <cell r="J21">
            <v>98</v>
          </cell>
          <cell r="K21">
            <v>2352000</v>
          </cell>
          <cell r="L21">
            <v>27265.306120000001</v>
          </cell>
          <cell r="M21">
            <v>2672000</v>
          </cell>
          <cell r="N21">
            <v>25051.00634</v>
          </cell>
          <cell r="O21">
            <v>2310000</v>
          </cell>
          <cell r="P21">
            <v>2329743.58974359</v>
          </cell>
          <cell r="Q21">
            <v>2648000</v>
          </cell>
          <cell r="R21">
            <v>2263247.8629999999</v>
          </cell>
          <cell r="S21">
            <v>318256.41029999999</v>
          </cell>
          <cell r="T21">
            <v>0.1366057671</v>
          </cell>
          <cell r="U21">
            <v>0.14690733</v>
          </cell>
          <cell r="V21">
            <v>2648000</v>
          </cell>
          <cell r="W21" t="str">
            <v>שמואל דוידוב</v>
          </cell>
        </row>
        <row r="22">
          <cell r="A22">
            <v>13</v>
          </cell>
          <cell r="B22" t="str">
            <v>N3-D13</v>
          </cell>
          <cell r="C22" t="str">
            <v>צפון מערב</v>
          </cell>
          <cell r="D22">
            <v>3</v>
          </cell>
          <cell r="E22">
            <v>32</v>
          </cell>
          <cell r="F22">
            <v>4</v>
          </cell>
          <cell r="G22">
            <v>24</v>
          </cell>
          <cell r="H22">
            <v>81</v>
          </cell>
          <cell r="I22">
            <v>15</v>
          </cell>
          <cell r="J22">
            <v>86</v>
          </cell>
          <cell r="K22">
            <v>2064000</v>
          </cell>
          <cell r="L22">
            <v>27720.930230000002</v>
          </cell>
          <cell r="M22">
            <v>2384000</v>
          </cell>
          <cell r="N22">
            <v>25649.467130000001</v>
          </cell>
          <cell r="O22">
            <v>2060000</v>
          </cell>
          <cell r="P22">
            <v>2077606.8376068375</v>
          </cell>
          <cell r="Q22">
            <v>2160000</v>
          </cell>
          <cell r="R22">
            <v>1846153.8459999999</v>
          </cell>
          <cell r="S22">
            <v>82393.162389999998</v>
          </cell>
          <cell r="T22">
            <v>3.9657725849999999E-2</v>
          </cell>
          <cell r="U22">
            <v>0.1474740826</v>
          </cell>
          <cell r="V22">
            <v>2160000</v>
          </cell>
          <cell r="W22" t="str">
            <v>ויקטור ואנה</v>
          </cell>
        </row>
        <row r="23">
          <cell r="A23">
            <v>14</v>
          </cell>
          <cell r="B23" t="str">
            <v>N4-A14</v>
          </cell>
          <cell r="C23" t="str">
            <v>צפון מזרח</v>
          </cell>
          <cell r="D23">
            <v>3</v>
          </cell>
          <cell r="E23">
            <v>50</v>
          </cell>
          <cell r="F23">
            <v>3.5</v>
          </cell>
          <cell r="G23">
            <v>5</v>
          </cell>
          <cell r="H23">
            <v>88</v>
          </cell>
          <cell r="I23">
            <v>15</v>
          </cell>
          <cell r="J23">
            <v>93</v>
          </cell>
          <cell r="K23">
            <v>2232000</v>
          </cell>
          <cell r="L23">
            <v>26720.430110000001</v>
          </cell>
          <cell r="M23">
            <v>2485000</v>
          </cell>
          <cell r="N23">
            <v>25328.28283</v>
          </cell>
          <cell r="O23">
            <v>2210000</v>
          </cell>
          <cell r="P23">
            <v>2228888.888888889</v>
          </cell>
          <cell r="Q23"/>
          <cell r="R23">
            <v>0</v>
          </cell>
          <cell r="S23">
            <v>0</v>
          </cell>
          <cell r="T23" t="str">
            <v/>
          </cell>
          <cell r="U23">
            <v>0.1149052841</v>
          </cell>
          <cell r="V23"/>
          <cell r="W23"/>
        </row>
        <row r="24">
          <cell r="A24">
            <v>15</v>
          </cell>
          <cell r="B24" t="str">
            <v>N4-B15</v>
          </cell>
          <cell r="C24" t="str">
            <v>דרום מזרח</v>
          </cell>
          <cell r="D24">
            <v>3</v>
          </cell>
          <cell r="E24">
            <v>49</v>
          </cell>
          <cell r="F24">
            <v>2.5</v>
          </cell>
          <cell r="G24">
            <v>25</v>
          </cell>
          <cell r="H24">
            <v>88</v>
          </cell>
          <cell r="I24">
            <v>15</v>
          </cell>
          <cell r="J24">
            <v>93</v>
          </cell>
          <cell r="K24">
            <v>2232000</v>
          </cell>
          <cell r="L24">
            <v>26344.086019999999</v>
          </cell>
          <cell r="M24">
            <v>2450000</v>
          </cell>
          <cell r="N24">
            <v>25328.28283</v>
          </cell>
          <cell r="O24">
            <v>2210000</v>
          </cell>
          <cell r="P24">
            <v>2228888.888888889</v>
          </cell>
          <cell r="Q24"/>
          <cell r="R24">
            <v>0</v>
          </cell>
          <cell r="S24">
            <v>0</v>
          </cell>
          <cell r="T24" t="str">
            <v/>
          </cell>
          <cell r="U24">
            <v>9.9202392819999999E-2</v>
          </cell>
          <cell r="V24"/>
          <cell r="W24"/>
        </row>
        <row r="25">
          <cell r="A25">
            <v>16</v>
          </cell>
          <cell r="B25" t="str">
            <v>N4-C16</v>
          </cell>
          <cell r="C25" t="str">
            <v>דרום מערב</v>
          </cell>
          <cell r="D25">
            <v>4</v>
          </cell>
          <cell r="E25">
            <v>48</v>
          </cell>
          <cell r="F25">
            <v>3.5</v>
          </cell>
          <cell r="G25">
            <v>37</v>
          </cell>
          <cell r="H25">
            <v>93</v>
          </cell>
          <cell r="I25">
            <v>15</v>
          </cell>
          <cell r="J25">
            <v>98</v>
          </cell>
          <cell r="K25">
            <v>2352000</v>
          </cell>
          <cell r="L25">
            <v>27673.469389999998</v>
          </cell>
          <cell r="M25">
            <v>2712000</v>
          </cell>
          <cell r="N25">
            <v>25267.89817</v>
          </cell>
          <cell r="O25">
            <v>2330000</v>
          </cell>
          <cell r="P25">
            <v>2349914.52991453</v>
          </cell>
          <cell r="Q25">
            <v>2618000</v>
          </cell>
          <cell r="R25">
            <v>2237606.838</v>
          </cell>
          <cell r="S25">
            <v>268085.47009999998</v>
          </cell>
          <cell r="T25">
            <v>0.1140830727</v>
          </cell>
          <cell r="U25">
            <v>0.15408452750000001</v>
          </cell>
          <cell r="V25">
            <v>2618000</v>
          </cell>
          <cell r="W25" t="str">
            <v>מרדכי גליק</v>
          </cell>
        </row>
        <row r="26">
          <cell r="A26">
            <v>17</v>
          </cell>
          <cell r="B26" t="str">
            <v>N4-D17</v>
          </cell>
          <cell r="C26" t="str">
            <v>צפון מערב</v>
          </cell>
          <cell r="D26">
            <v>3</v>
          </cell>
          <cell r="E26">
            <v>31</v>
          </cell>
          <cell r="F26">
            <v>5</v>
          </cell>
          <cell r="G26">
            <v>11</v>
          </cell>
          <cell r="H26">
            <v>81</v>
          </cell>
          <cell r="I26">
            <v>15</v>
          </cell>
          <cell r="J26">
            <v>86</v>
          </cell>
          <cell r="K26">
            <v>2064000</v>
          </cell>
          <cell r="L26">
            <v>28186.04651</v>
          </cell>
          <cell r="M26">
            <v>2424000</v>
          </cell>
          <cell r="N26">
            <v>25898.49108</v>
          </cell>
          <cell r="O26">
            <v>2080000</v>
          </cell>
          <cell r="P26">
            <v>2097777.777777778</v>
          </cell>
          <cell r="Q26">
            <v>2365000</v>
          </cell>
          <cell r="R26">
            <v>2004237.2879999999</v>
          </cell>
          <cell r="S26">
            <v>267222.22220000002</v>
          </cell>
          <cell r="T26">
            <v>0.12738347459999999</v>
          </cell>
          <cell r="U26">
            <v>0.1555084746</v>
          </cell>
          <cell r="V26">
            <v>2365000</v>
          </cell>
          <cell r="W26" t="str">
            <v>יורי בננסון</v>
          </cell>
        </row>
        <row r="27">
          <cell r="A27">
            <v>18</v>
          </cell>
          <cell r="B27" t="str">
            <v>N5-A18</v>
          </cell>
          <cell r="C27" t="str">
            <v>צפון מזרח</v>
          </cell>
          <cell r="D27">
            <v>3</v>
          </cell>
          <cell r="E27">
            <v>53</v>
          </cell>
          <cell r="F27">
            <v>3.5</v>
          </cell>
          <cell r="G27">
            <v>12</v>
          </cell>
          <cell r="H27">
            <v>88</v>
          </cell>
          <cell r="I27">
            <v>15</v>
          </cell>
          <cell r="J27">
            <v>93</v>
          </cell>
          <cell r="K27">
            <v>2232000</v>
          </cell>
          <cell r="L27">
            <v>27150.537629999999</v>
          </cell>
          <cell r="M27">
            <v>2525000</v>
          </cell>
          <cell r="N27">
            <v>25557.498060000002</v>
          </cell>
          <cell r="O27">
            <v>2230000</v>
          </cell>
          <cell r="P27">
            <v>2249059.829059829</v>
          </cell>
          <cell r="Q27"/>
          <cell r="R27">
            <v>0</v>
          </cell>
          <cell r="S27">
            <v>0</v>
          </cell>
          <cell r="T27" t="str">
            <v/>
          </cell>
          <cell r="U27">
            <v>0.12269134299999999</v>
          </cell>
          <cell r="V27"/>
          <cell r="W27"/>
        </row>
        <row r="28">
          <cell r="A28">
            <v>19</v>
          </cell>
          <cell r="B28" t="str">
            <v>N5-B19</v>
          </cell>
          <cell r="C28" t="str">
            <v>דרום מזרח</v>
          </cell>
          <cell r="D28">
            <v>3</v>
          </cell>
          <cell r="E28">
            <v>52</v>
          </cell>
          <cell r="F28">
            <v>2.5</v>
          </cell>
          <cell r="G28">
            <v>22</v>
          </cell>
          <cell r="H28">
            <v>88</v>
          </cell>
          <cell r="I28">
            <v>15</v>
          </cell>
          <cell r="J28">
            <v>93</v>
          </cell>
          <cell r="K28">
            <v>2232000</v>
          </cell>
          <cell r="L28">
            <v>26774.19355</v>
          </cell>
          <cell r="M28">
            <v>2490000</v>
          </cell>
          <cell r="N28">
            <v>25557.498060000002</v>
          </cell>
          <cell r="O28">
            <v>2230000</v>
          </cell>
          <cell r="P28">
            <v>2249059.829059829</v>
          </cell>
          <cell r="Q28"/>
          <cell r="R28">
            <v>0</v>
          </cell>
          <cell r="S28">
            <v>0</v>
          </cell>
          <cell r="T28" t="str">
            <v/>
          </cell>
          <cell r="U28">
            <v>0.1071292848</v>
          </cell>
          <cell r="V28"/>
          <cell r="W28"/>
        </row>
        <row r="29">
          <cell r="A29">
            <v>20</v>
          </cell>
          <cell r="B29" t="str">
            <v>N5-C20</v>
          </cell>
          <cell r="C29" t="str">
            <v>דרום מערב</v>
          </cell>
          <cell r="D29">
            <v>4</v>
          </cell>
          <cell r="E29">
            <v>51</v>
          </cell>
          <cell r="F29">
            <v>3.5</v>
          </cell>
          <cell r="G29">
            <v>6</v>
          </cell>
          <cell r="H29">
            <v>93</v>
          </cell>
          <cell r="I29">
            <v>15</v>
          </cell>
          <cell r="J29">
            <v>98</v>
          </cell>
          <cell r="K29">
            <v>2352000</v>
          </cell>
          <cell r="L29">
            <v>28081.63265</v>
          </cell>
          <cell r="M29">
            <v>2752000</v>
          </cell>
          <cell r="N29">
            <v>25484.79</v>
          </cell>
          <cell r="O29">
            <v>2350000</v>
          </cell>
          <cell r="P29">
            <v>2370085.47008547</v>
          </cell>
          <cell r="Q29">
            <v>2670000</v>
          </cell>
          <cell r="R29">
            <v>2282051.2820000001</v>
          </cell>
          <cell r="S29">
            <v>299914.52990000002</v>
          </cell>
          <cell r="T29">
            <v>0.1265416516</v>
          </cell>
          <cell r="U29">
            <v>0.16113955999999999</v>
          </cell>
          <cell r="V29">
            <v>2670000</v>
          </cell>
          <cell r="W29" t="str">
            <v>הלנה בלקינד</v>
          </cell>
        </row>
        <row r="30">
          <cell r="A30">
            <v>21</v>
          </cell>
          <cell r="B30" t="str">
            <v>N5-D21</v>
          </cell>
          <cell r="C30" t="str">
            <v>צפון מערב</v>
          </cell>
          <cell r="D30">
            <v>3</v>
          </cell>
          <cell r="E30">
            <v>7</v>
          </cell>
          <cell r="F30">
            <v>4</v>
          </cell>
          <cell r="G30">
            <v>29</v>
          </cell>
          <cell r="H30">
            <v>81</v>
          </cell>
          <cell r="I30">
            <v>15</v>
          </cell>
          <cell r="J30">
            <v>86</v>
          </cell>
          <cell r="K30">
            <v>2064000</v>
          </cell>
          <cell r="L30">
            <v>28651.162789999998</v>
          </cell>
          <cell r="M30">
            <v>2464000</v>
          </cell>
          <cell r="N30">
            <v>26147.515039999998</v>
          </cell>
          <cell r="O30">
            <v>2100000</v>
          </cell>
          <cell r="P30">
            <v>2117948.717948718</v>
          </cell>
          <cell r="Q30">
            <v>2400000</v>
          </cell>
          <cell r="R30">
            <v>2033898.3049999999</v>
          </cell>
          <cell r="S30">
            <v>282051.28210000001</v>
          </cell>
          <cell r="T30">
            <v>0.13317191279999999</v>
          </cell>
          <cell r="U30">
            <v>0.1633898305</v>
          </cell>
          <cell r="V30">
            <v>2400000</v>
          </cell>
          <cell r="W30" t="str">
            <v>רווה בן משה</v>
          </cell>
        </row>
        <row r="31">
          <cell r="A31">
            <v>22</v>
          </cell>
          <cell r="B31" t="str">
            <v>N6-A22</v>
          </cell>
          <cell r="C31" t="str">
            <v>צפון מזרח</v>
          </cell>
          <cell r="D31">
            <v>3</v>
          </cell>
          <cell r="E31">
            <v>56</v>
          </cell>
          <cell r="F31">
            <v>3.5</v>
          </cell>
          <cell r="G31">
            <v>38</v>
          </cell>
          <cell r="H31">
            <v>88</v>
          </cell>
          <cell r="I31">
            <v>15</v>
          </cell>
          <cell r="J31">
            <v>93</v>
          </cell>
          <cell r="K31">
            <v>2232000</v>
          </cell>
          <cell r="L31">
            <v>27580.64516</v>
          </cell>
          <cell r="M31">
            <v>2565000</v>
          </cell>
          <cell r="N31">
            <v>25786.71329</v>
          </cell>
          <cell r="O31">
            <v>2250000</v>
          </cell>
          <cell r="P31">
            <v>2269230.7692307695</v>
          </cell>
          <cell r="Q31"/>
          <cell r="R31">
            <v>0</v>
          </cell>
          <cell r="S31">
            <v>0</v>
          </cell>
          <cell r="T31" t="str">
            <v/>
          </cell>
          <cell r="U31">
            <v>0.1303389831</v>
          </cell>
          <cell r="V31"/>
          <cell r="W31"/>
        </row>
        <row r="32">
          <cell r="A32">
            <v>23</v>
          </cell>
          <cell r="B32" t="str">
            <v>N6-B23</v>
          </cell>
          <cell r="C32" t="str">
            <v>דרום מזרח</v>
          </cell>
          <cell r="D32">
            <v>3</v>
          </cell>
          <cell r="E32">
            <v>55</v>
          </cell>
          <cell r="F32">
            <v>2.5</v>
          </cell>
          <cell r="G32">
            <v>16</v>
          </cell>
          <cell r="H32">
            <v>88</v>
          </cell>
          <cell r="I32">
            <v>15</v>
          </cell>
          <cell r="J32">
            <v>93</v>
          </cell>
          <cell r="K32">
            <v>2232000</v>
          </cell>
          <cell r="L32">
            <v>27204.301080000001</v>
          </cell>
          <cell r="M32">
            <v>2530000</v>
          </cell>
          <cell r="N32">
            <v>25786.71329</v>
          </cell>
          <cell r="O32">
            <v>2250000</v>
          </cell>
          <cell r="P32">
            <v>2269230.7692307695</v>
          </cell>
          <cell r="Q32"/>
          <cell r="R32">
            <v>0</v>
          </cell>
          <cell r="S32">
            <v>0</v>
          </cell>
          <cell r="T32" t="str">
            <v/>
          </cell>
          <cell r="U32">
            <v>0.1149152542</v>
          </cell>
          <cell r="V32"/>
          <cell r="W32"/>
        </row>
        <row r="33">
          <cell r="A33">
            <v>24</v>
          </cell>
          <cell r="B33" t="str">
            <v>N6-C24</v>
          </cell>
          <cell r="C33" t="str">
            <v>דרום מערב</v>
          </cell>
          <cell r="D33">
            <v>4</v>
          </cell>
          <cell r="E33">
            <v>54</v>
          </cell>
          <cell r="F33">
            <v>3.5</v>
          </cell>
          <cell r="G33">
            <v>14</v>
          </cell>
          <cell r="H33">
            <v>93</v>
          </cell>
          <cell r="I33">
            <v>15</v>
          </cell>
          <cell r="J33">
            <v>98</v>
          </cell>
          <cell r="K33">
            <v>2352000</v>
          </cell>
          <cell r="L33">
            <v>28489.79592</v>
          </cell>
          <cell r="M33">
            <v>2792000</v>
          </cell>
          <cell r="N33">
            <v>25701.681830000001</v>
          </cell>
          <cell r="O33">
            <v>2370000</v>
          </cell>
          <cell r="P33">
            <v>2390256.41025641</v>
          </cell>
          <cell r="Q33"/>
          <cell r="R33">
            <v>0</v>
          </cell>
          <cell r="S33">
            <v>0</v>
          </cell>
          <cell r="T33" t="str">
            <v/>
          </cell>
          <cell r="U33">
            <v>0.1680755203</v>
          </cell>
          <cell r="V33"/>
        </row>
        <row r="34">
          <cell r="A34">
            <v>25</v>
          </cell>
          <cell r="B34" t="str">
            <v>N6-D25</v>
          </cell>
          <cell r="C34" t="str">
            <v>צפון מערב</v>
          </cell>
          <cell r="D34">
            <v>3</v>
          </cell>
          <cell r="E34">
            <v>25</v>
          </cell>
          <cell r="F34">
            <v>6</v>
          </cell>
          <cell r="G34">
            <v>13</v>
          </cell>
          <cell r="H34">
            <v>81</v>
          </cell>
          <cell r="I34">
            <v>15</v>
          </cell>
          <cell r="J34">
            <v>86</v>
          </cell>
          <cell r="K34">
            <v>2064000</v>
          </cell>
          <cell r="L34">
            <v>29116.279070000001</v>
          </cell>
          <cell r="M34">
            <v>2504000</v>
          </cell>
          <cell r="N34">
            <v>26396.538990000001</v>
          </cell>
          <cell r="O34">
            <v>2120000</v>
          </cell>
          <cell r="P34">
            <v>2138119.658119658</v>
          </cell>
          <cell r="Q34"/>
          <cell r="R34">
            <v>0</v>
          </cell>
          <cell r="S34">
            <v>0</v>
          </cell>
          <cell r="T34" t="str">
            <v/>
          </cell>
          <cell r="U34">
            <v>0.17112248159999999</v>
          </cell>
          <cell r="V34"/>
          <cell r="W34"/>
        </row>
        <row r="35">
          <cell r="A35">
            <v>26</v>
          </cell>
          <cell r="B35" t="str">
            <v>N7-A26</v>
          </cell>
          <cell r="C35" t="str">
            <v>צפון מזרח</v>
          </cell>
          <cell r="D35">
            <v>3</v>
          </cell>
          <cell r="E35">
            <v>59</v>
          </cell>
          <cell r="F35">
            <v>3.5</v>
          </cell>
          <cell r="G35">
            <v>9</v>
          </cell>
          <cell r="H35">
            <v>88</v>
          </cell>
          <cell r="I35">
            <v>15</v>
          </cell>
          <cell r="J35">
            <v>93</v>
          </cell>
          <cell r="K35">
            <v>2232000</v>
          </cell>
          <cell r="L35">
            <v>28010.752690000001</v>
          </cell>
          <cell r="M35">
            <v>2605000</v>
          </cell>
          <cell r="N35">
            <v>26015.928520000001</v>
          </cell>
          <cell r="O35">
            <v>2270000</v>
          </cell>
          <cell r="P35">
            <v>2289401.7094017095</v>
          </cell>
          <cell r="Q35"/>
          <cell r="R35">
            <v>0</v>
          </cell>
          <cell r="S35">
            <v>0</v>
          </cell>
          <cell r="T35" t="str">
            <v/>
          </cell>
          <cell r="U35">
            <v>0.13785186290000001</v>
          </cell>
          <cell r="V35"/>
          <cell r="W35"/>
        </row>
        <row r="36">
          <cell r="A36">
            <v>27</v>
          </cell>
          <cell r="B36" t="str">
            <v>N7-B27</v>
          </cell>
          <cell r="C36" t="str">
            <v>דרום מזרח</v>
          </cell>
          <cell r="D36">
            <v>3</v>
          </cell>
          <cell r="E36">
            <v>58</v>
          </cell>
          <cell r="F36">
            <v>2.5</v>
          </cell>
          <cell r="G36">
            <v>23</v>
          </cell>
          <cell r="H36">
            <v>88</v>
          </cell>
          <cell r="I36">
            <v>15</v>
          </cell>
          <cell r="J36">
            <v>93</v>
          </cell>
          <cell r="K36">
            <v>2232000</v>
          </cell>
          <cell r="L36">
            <v>27634.408599999999</v>
          </cell>
          <cell r="M36">
            <v>2570000</v>
          </cell>
          <cell r="N36">
            <v>26015.928520000001</v>
          </cell>
          <cell r="O36">
            <v>2270000</v>
          </cell>
          <cell r="P36">
            <v>2289401.7094017095</v>
          </cell>
          <cell r="Q36"/>
          <cell r="R36">
            <v>0</v>
          </cell>
          <cell r="S36">
            <v>0</v>
          </cell>
          <cell r="T36" t="str">
            <v/>
          </cell>
          <cell r="U36">
            <v>0.12256402600000001</v>
          </cell>
          <cell r="V36"/>
          <cell r="W36"/>
        </row>
        <row r="37">
          <cell r="A37">
            <v>28</v>
          </cell>
          <cell r="B37" t="str">
            <v>N7-C28</v>
          </cell>
          <cell r="C37" t="str">
            <v>דרום מערב</v>
          </cell>
          <cell r="D37">
            <v>4</v>
          </cell>
          <cell r="E37">
            <v>57</v>
          </cell>
          <cell r="F37">
            <v>3.5</v>
          </cell>
          <cell r="G37">
            <v>10</v>
          </cell>
          <cell r="H37">
            <v>95</v>
          </cell>
          <cell r="I37">
            <v>15</v>
          </cell>
          <cell r="J37">
            <v>100</v>
          </cell>
          <cell r="K37">
            <v>2400000</v>
          </cell>
          <cell r="L37">
            <v>28800</v>
          </cell>
          <cell r="M37">
            <v>2880000</v>
          </cell>
          <cell r="N37">
            <v>25372.91948</v>
          </cell>
          <cell r="O37">
            <v>2390000</v>
          </cell>
          <cell r="P37">
            <v>2410427.3504273505</v>
          </cell>
          <cell r="Q37">
            <v>2700000</v>
          </cell>
          <cell r="R37">
            <v>2307692.3080000002</v>
          </cell>
          <cell r="S37">
            <v>289572.6496</v>
          </cell>
          <cell r="T37">
            <v>0.12013332390000001</v>
          </cell>
          <cell r="U37">
            <v>0.1948088788</v>
          </cell>
          <cell r="V37">
            <v>2700000</v>
          </cell>
          <cell r="W37" t="str">
            <v>שגית זנדני</v>
          </cell>
        </row>
        <row r="38">
          <cell r="A38">
            <v>29</v>
          </cell>
          <cell r="B38" t="str">
            <v>N7-D29</v>
          </cell>
          <cell r="C38" t="str">
            <v>צפון מערב</v>
          </cell>
          <cell r="D38">
            <v>3</v>
          </cell>
          <cell r="E38">
            <v>10</v>
          </cell>
          <cell r="F38">
            <v>6.5</v>
          </cell>
          <cell r="G38">
            <v>1</v>
          </cell>
          <cell r="H38">
            <v>83</v>
          </cell>
          <cell r="I38">
            <v>15</v>
          </cell>
          <cell r="J38">
            <v>88</v>
          </cell>
          <cell r="K38">
            <v>2112000</v>
          </cell>
          <cell r="L38">
            <v>29454.545450000001</v>
          </cell>
          <cell r="M38">
            <v>2592000</v>
          </cell>
          <cell r="N38">
            <v>26003.501179999999</v>
          </cell>
          <cell r="O38">
            <v>2140000</v>
          </cell>
          <cell r="P38">
            <v>2158290.5982905985</v>
          </cell>
          <cell r="Q38"/>
          <cell r="R38">
            <v>0</v>
          </cell>
          <cell r="S38">
            <v>0</v>
          </cell>
          <cell r="T38" t="str">
            <v/>
          </cell>
          <cell r="U38">
            <v>0.2009504198</v>
          </cell>
          <cell r="V38"/>
          <cell r="W38"/>
        </row>
        <row r="39">
          <cell r="A39">
            <v>30</v>
          </cell>
          <cell r="B39" t="str">
            <v>N8-P30</v>
          </cell>
          <cell r="C39" t="str">
            <v>צפון דרום מזרח</v>
          </cell>
          <cell r="D39">
            <v>5</v>
          </cell>
          <cell r="E39">
            <v>61</v>
          </cell>
          <cell r="F39">
            <v>8</v>
          </cell>
          <cell r="G39">
            <v>20</v>
          </cell>
          <cell r="H39">
            <v>120</v>
          </cell>
          <cell r="I39">
            <v>55</v>
          </cell>
          <cell r="J39">
            <v>139</v>
          </cell>
          <cell r="K39">
            <v>3386000</v>
          </cell>
          <cell r="L39">
            <v>30215.82734</v>
          </cell>
          <cell r="M39">
            <v>4200000</v>
          </cell>
          <cell r="N39"/>
          <cell r="O39">
            <v>3170000</v>
          </cell>
          <cell r="P39">
            <v>3197094.017</v>
          </cell>
          <cell r="Q39"/>
          <cell r="R39">
            <v>0</v>
          </cell>
          <cell r="S39">
            <v>0</v>
          </cell>
          <cell r="T39" t="str">
            <v/>
          </cell>
          <cell r="U39"/>
          <cell r="V39"/>
          <cell r="W39"/>
        </row>
        <row r="40">
          <cell r="A40">
            <v>31</v>
          </cell>
          <cell r="B40" t="str">
            <v>N8-P31</v>
          </cell>
          <cell r="C40" t="str">
            <v>צפון דרום מערב</v>
          </cell>
          <cell r="D40">
            <v>5</v>
          </cell>
          <cell r="E40">
            <v>24</v>
          </cell>
          <cell r="F40">
            <v>7.5</v>
          </cell>
          <cell r="G40">
            <v>19</v>
          </cell>
          <cell r="H40">
            <v>142</v>
          </cell>
          <cell r="I40">
            <v>75</v>
          </cell>
          <cell r="J40">
            <v>167</v>
          </cell>
          <cell r="K40">
            <v>4058000</v>
          </cell>
          <cell r="L40">
            <v>26946.107779999998</v>
          </cell>
          <cell r="M40">
            <v>4500000</v>
          </cell>
          <cell r="N40"/>
          <cell r="O40">
            <v>3620000</v>
          </cell>
          <cell r="P40">
            <v>3650940.1710000001</v>
          </cell>
          <cell r="Q40"/>
          <cell r="R40">
            <v>0</v>
          </cell>
          <cell r="S40">
            <v>0</v>
          </cell>
          <cell r="T40" t="str">
            <v/>
          </cell>
          <cell r="U40"/>
          <cell r="V40"/>
          <cell r="W40"/>
        </row>
        <row r="41">
          <cell r="A41">
            <v>0</v>
          </cell>
          <cell r="B41"/>
          <cell r="C41"/>
          <cell r="D41"/>
          <cell r="E41"/>
          <cell r="F41"/>
          <cell r="G41"/>
          <cell r="H41">
            <v>88</v>
          </cell>
          <cell r="I41"/>
          <cell r="J41">
            <v>88</v>
          </cell>
          <cell r="K41"/>
          <cell r="L41"/>
          <cell r="M41"/>
          <cell r="N41"/>
          <cell r="O41"/>
          <cell r="P41"/>
          <cell r="Q41"/>
          <cell r="R41"/>
          <cell r="S41">
            <v>0</v>
          </cell>
          <cell r="T41" t="str">
            <v/>
          </cell>
          <cell r="U41"/>
          <cell r="V41"/>
          <cell r="W41"/>
        </row>
        <row r="42">
          <cell r="A42">
            <v>32</v>
          </cell>
          <cell r="B42" t="str">
            <v>S0-G32</v>
          </cell>
          <cell r="C42" t="str">
            <v>צפון מזרח</v>
          </cell>
          <cell r="D42">
            <v>4</v>
          </cell>
          <cell r="E42">
            <v>38</v>
          </cell>
          <cell r="F42">
            <v>5.5</v>
          </cell>
          <cell r="G42">
            <v>46</v>
          </cell>
          <cell r="H42">
            <v>91</v>
          </cell>
          <cell r="I42">
            <v>141</v>
          </cell>
          <cell r="J42">
            <v>138</v>
          </cell>
          <cell r="K42">
            <v>3362000</v>
          </cell>
          <cell r="L42">
            <v>28985.507249999999</v>
          </cell>
          <cell r="M42">
            <v>4000000</v>
          </cell>
          <cell r="N42"/>
          <cell r="O42"/>
          <cell r="P42"/>
          <cell r="Q42"/>
          <cell r="R42">
            <v>0</v>
          </cell>
          <cell r="S42">
            <v>0</v>
          </cell>
          <cell r="T42" t="str">
            <v/>
          </cell>
          <cell r="U42"/>
          <cell r="V42"/>
          <cell r="W42"/>
        </row>
        <row r="43">
          <cell r="A43">
            <v>33</v>
          </cell>
          <cell r="B43" t="str">
            <v>S0-G33</v>
          </cell>
          <cell r="C43" t="str">
            <v>דרום מזרח</v>
          </cell>
          <cell r="D43">
            <v>3</v>
          </cell>
          <cell r="E43">
            <v>37</v>
          </cell>
          <cell r="F43">
            <v>6</v>
          </cell>
          <cell r="G43">
            <v>30</v>
          </cell>
          <cell r="H43">
            <v>85</v>
          </cell>
          <cell r="I43">
            <v>187</v>
          </cell>
          <cell r="J43">
            <v>148</v>
          </cell>
          <cell r="K43">
            <v>3552000</v>
          </cell>
          <cell r="L43">
            <v>26351.351350000001</v>
          </cell>
          <cell r="M43">
            <v>3900000</v>
          </cell>
          <cell r="N43">
            <v>0</v>
          </cell>
          <cell r="O43"/>
          <cell r="P43"/>
          <cell r="Q43"/>
          <cell r="R43">
            <v>0</v>
          </cell>
          <cell r="S43">
            <v>0</v>
          </cell>
          <cell r="T43" t="str">
            <v/>
          </cell>
          <cell r="U43"/>
          <cell r="V43"/>
          <cell r="W43"/>
        </row>
        <row r="44">
          <cell r="A44">
            <v>34</v>
          </cell>
          <cell r="B44" t="str">
            <v>S1-A34</v>
          </cell>
          <cell r="C44" t="str">
            <v>צפון מזרח</v>
          </cell>
          <cell r="D44">
            <v>4</v>
          </cell>
          <cell r="E44">
            <v>15</v>
          </cell>
          <cell r="F44">
            <v>4</v>
          </cell>
          <cell r="G44">
            <v>18</v>
          </cell>
          <cell r="H44">
            <v>91</v>
          </cell>
          <cell r="I44">
            <v>15</v>
          </cell>
          <cell r="J44">
            <v>96</v>
          </cell>
          <cell r="K44">
            <v>2304000</v>
          </cell>
          <cell r="L44">
            <v>26500</v>
          </cell>
          <cell r="M44">
            <v>2544000</v>
          </cell>
          <cell r="N44">
            <v>24936.601859999999</v>
          </cell>
          <cell r="O44">
            <v>2250000</v>
          </cell>
          <cell r="P44">
            <v>2269230.7692307695</v>
          </cell>
          <cell r="Q44">
            <v>2544000</v>
          </cell>
          <cell r="R44">
            <v>2174358.9739999999</v>
          </cell>
          <cell r="S44">
            <v>274769.23080000002</v>
          </cell>
          <cell r="T44">
            <v>0.1210847458</v>
          </cell>
          <cell r="U44">
            <v>0.1210847458</v>
          </cell>
          <cell r="V44">
            <v>2544000</v>
          </cell>
          <cell r="W44" t="str">
            <v>אלי גדות</v>
          </cell>
        </row>
        <row r="45">
          <cell r="A45">
            <v>35</v>
          </cell>
          <cell r="B45" t="str">
            <v>S1-B35</v>
          </cell>
          <cell r="C45" t="str">
            <v>דרום מזרח</v>
          </cell>
          <cell r="D45">
            <v>3</v>
          </cell>
          <cell r="E45">
            <v>14</v>
          </cell>
          <cell r="F45">
            <v>4</v>
          </cell>
          <cell r="G45">
            <v>66</v>
          </cell>
          <cell r="H45">
            <v>80</v>
          </cell>
          <cell r="I45">
            <v>15</v>
          </cell>
          <cell r="J45">
            <v>85</v>
          </cell>
          <cell r="K45">
            <v>2040000</v>
          </cell>
          <cell r="L45">
            <v>27294.11765</v>
          </cell>
          <cell r="M45">
            <v>2320000</v>
          </cell>
          <cell r="N45">
            <v>27104.700850000001</v>
          </cell>
          <cell r="O45">
            <v>2150000</v>
          </cell>
          <cell r="P45">
            <v>2168376.0683760685</v>
          </cell>
          <cell r="Q45">
            <v>2320000</v>
          </cell>
          <cell r="R45">
            <v>1982905.983</v>
          </cell>
          <cell r="S45">
            <v>151623.93160000001</v>
          </cell>
          <cell r="T45">
            <v>6.9925108400000005E-2</v>
          </cell>
          <cell r="U45">
            <v>6.9925108400000005E-2</v>
          </cell>
          <cell r="V45">
            <v>2320000</v>
          </cell>
          <cell r="W45" t="str">
            <v>אלי גדות</v>
          </cell>
        </row>
        <row r="46">
          <cell r="A46">
            <v>36</v>
          </cell>
          <cell r="B46" t="str">
            <v>S1-C36</v>
          </cell>
          <cell r="C46" t="str">
            <v>דרום מערב</v>
          </cell>
          <cell r="D46">
            <v>4</v>
          </cell>
          <cell r="E46">
            <v>16</v>
          </cell>
          <cell r="F46">
            <v>5</v>
          </cell>
          <cell r="G46">
            <v>67</v>
          </cell>
          <cell r="H46">
            <v>88</v>
          </cell>
          <cell r="I46">
            <v>15</v>
          </cell>
          <cell r="J46">
            <v>93</v>
          </cell>
          <cell r="K46">
            <v>2232000</v>
          </cell>
          <cell r="L46">
            <v>25881.720430000001</v>
          </cell>
          <cell r="M46">
            <v>2407000</v>
          </cell>
          <cell r="N46">
            <v>26015.928520000001</v>
          </cell>
          <cell r="O46">
            <v>2270000</v>
          </cell>
          <cell r="P46">
            <v>2289401.7094017095</v>
          </cell>
          <cell r="Q46">
            <v>2407000</v>
          </cell>
          <cell r="R46">
            <v>2057264.9569999999</v>
          </cell>
          <cell r="S46">
            <v>117598.29059999999</v>
          </cell>
          <cell r="T46">
            <v>5.1366385430000001E-2</v>
          </cell>
          <cell r="U46">
            <v>5.1366385430000001E-2</v>
          </cell>
          <cell r="V46">
            <v>2407000</v>
          </cell>
          <cell r="W46" t="str">
            <v>אלי גדות</v>
          </cell>
        </row>
        <row r="47">
          <cell r="A47">
            <v>37</v>
          </cell>
          <cell r="B47" t="str">
            <v>S1-D37</v>
          </cell>
          <cell r="C47" t="str">
            <v>צפון מערב</v>
          </cell>
          <cell r="D47">
            <v>4</v>
          </cell>
          <cell r="E47">
            <v>13</v>
          </cell>
          <cell r="F47">
            <v>5</v>
          </cell>
          <cell r="G47">
            <v>68</v>
          </cell>
          <cell r="H47">
            <v>102</v>
          </cell>
          <cell r="I47">
            <v>15</v>
          </cell>
          <cell r="J47">
            <v>107</v>
          </cell>
          <cell r="K47">
            <v>2568000</v>
          </cell>
          <cell r="L47">
            <v>24747.663550000001</v>
          </cell>
          <cell r="M47">
            <v>2648000</v>
          </cell>
          <cell r="N47">
            <v>24224.90364</v>
          </cell>
          <cell r="O47">
            <v>2450000</v>
          </cell>
          <cell r="P47">
            <v>2470940.170940171</v>
          </cell>
          <cell r="Q47">
            <v>2648000</v>
          </cell>
          <cell r="R47">
            <v>2263247.8629999999</v>
          </cell>
          <cell r="S47">
            <v>177059.8291</v>
          </cell>
          <cell r="T47">
            <v>7.1656866139999997E-2</v>
          </cell>
          <cell r="U47">
            <v>7.1656866139999997E-2</v>
          </cell>
          <cell r="V47">
            <v>2648000</v>
          </cell>
          <cell r="W47" t="str">
            <v>אלי גדות</v>
          </cell>
        </row>
        <row r="48">
          <cell r="A48">
            <v>38</v>
          </cell>
          <cell r="B48" t="str">
            <v>S2-A38</v>
          </cell>
          <cell r="C48" t="str">
            <v>צפון מזרח</v>
          </cell>
          <cell r="D48">
            <v>4</v>
          </cell>
          <cell r="E48">
            <v>65</v>
          </cell>
          <cell r="F48">
            <v>4.5</v>
          </cell>
          <cell r="G48">
            <v>8</v>
          </cell>
          <cell r="H48">
            <v>91</v>
          </cell>
          <cell r="I48">
            <v>15</v>
          </cell>
          <cell r="J48">
            <v>96</v>
          </cell>
          <cell r="K48">
            <v>2304000</v>
          </cell>
          <cell r="L48">
            <v>26916.666669999999</v>
          </cell>
          <cell r="M48">
            <v>2584000</v>
          </cell>
          <cell r="N48">
            <v>25158.260539999999</v>
          </cell>
          <cell r="O48">
            <v>2270000</v>
          </cell>
          <cell r="P48">
            <v>2289401.7094017095</v>
          </cell>
          <cell r="Q48">
            <v>2400000</v>
          </cell>
          <cell r="R48">
            <v>2051282.051</v>
          </cell>
          <cell r="S48">
            <v>110598.29059999999</v>
          </cell>
          <cell r="T48">
            <v>4.830881804E-2</v>
          </cell>
          <cell r="U48">
            <v>0.1286791608</v>
          </cell>
          <cell r="V48">
            <v>2400000</v>
          </cell>
          <cell r="W48" t="str">
            <v>טיירי</v>
          </cell>
        </row>
        <row r="49">
          <cell r="A49">
            <v>39</v>
          </cell>
          <cell r="B49" t="str">
            <v>S2-B39</v>
          </cell>
          <cell r="C49" t="str">
            <v>דרום מזרח</v>
          </cell>
          <cell r="D49">
            <v>3</v>
          </cell>
          <cell r="E49">
            <v>22</v>
          </cell>
          <cell r="F49">
            <v>3.5</v>
          </cell>
          <cell r="G49">
            <v>61</v>
          </cell>
          <cell r="H49">
            <v>80</v>
          </cell>
          <cell r="I49">
            <v>15</v>
          </cell>
          <cell r="J49">
            <v>85</v>
          </cell>
          <cell r="K49">
            <v>2040000</v>
          </cell>
          <cell r="L49">
            <v>27764.705880000001</v>
          </cell>
          <cell r="M49">
            <v>2360000</v>
          </cell>
          <cell r="N49">
            <v>27356.837609999999</v>
          </cell>
          <cell r="O49">
            <v>2170000</v>
          </cell>
          <cell r="P49">
            <v>2188547.0085470085</v>
          </cell>
          <cell r="Q49">
            <v>2050000</v>
          </cell>
          <cell r="R49">
            <v>1752136.7520000001</v>
          </cell>
          <cell r="S49">
            <v>-138547.0085</v>
          </cell>
          <cell r="T49">
            <v>-6.3305475279999995E-2</v>
          </cell>
          <cell r="U49">
            <v>7.8341013819999999E-2</v>
          </cell>
          <cell r="V49">
            <v>2050000</v>
          </cell>
          <cell r="W49" t="str">
            <v>ספיר</v>
          </cell>
        </row>
        <row r="50">
          <cell r="A50">
            <v>40</v>
          </cell>
          <cell r="B50" t="str">
            <v>S2-C40</v>
          </cell>
          <cell r="C50" t="str">
            <v>דרום מערב</v>
          </cell>
          <cell r="D50">
            <v>4</v>
          </cell>
          <cell r="E50">
            <v>11</v>
          </cell>
          <cell r="F50">
            <v>5</v>
          </cell>
          <cell r="G50">
            <v>60</v>
          </cell>
          <cell r="H50">
            <v>88</v>
          </cell>
          <cell r="I50">
            <v>15</v>
          </cell>
          <cell r="J50">
            <v>93</v>
          </cell>
          <cell r="K50">
            <v>2232000</v>
          </cell>
          <cell r="L50">
            <v>26311.827959999999</v>
          </cell>
          <cell r="M50">
            <v>2447000</v>
          </cell>
          <cell r="N50">
            <v>26245.143749999999</v>
          </cell>
          <cell r="O50">
            <v>2290000</v>
          </cell>
          <cell r="P50">
            <v>2309572.6495726495</v>
          </cell>
          <cell r="Q50">
            <v>2320000</v>
          </cell>
          <cell r="R50">
            <v>1966101.6950000001</v>
          </cell>
          <cell r="S50">
            <v>10427.35043</v>
          </cell>
          <cell r="T50">
            <v>4.5148397600000001E-3</v>
          </cell>
          <cell r="U50">
            <v>5.9503367629999998E-2</v>
          </cell>
          <cell r="V50">
            <v>2320000</v>
          </cell>
          <cell r="W50" t="str">
            <v>שושה אבי</v>
          </cell>
        </row>
        <row r="51">
          <cell r="A51">
            <v>41</v>
          </cell>
          <cell r="B51" t="str">
            <v>S2-D41</v>
          </cell>
          <cell r="C51" t="str">
            <v>צפון מערב</v>
          </cell>
          <cell r="D51">
            <v>4</v>
          </cell>
          <cell r="E51">
            <v>66</v>
          </cell>
          <cell r="F51">
            <v>4.5</v>
          </cell>
          <cell r="G51">
            <v>7</v>
          </cell>
          <cell r="H51">
            <v>102</v>
          </cell>
          <cell r="I51">
            <v>15</v>
          </cell>
          <cell r="J51">
            <v>107</v>
          </cell>
          <cell r="K51">
            <v>2568000</v>
          </cell>
          <cell r="L51">
            <v>25121.495330000002</v>
          </cell>
          <cell r="M51">
            <v>2688000</v>
          </cell>
          <cell r="N51">
            <v>24422.657950000001</v>
          </cell>
          <cell r="O51">
            <v>2470000</v>
          </cell>
          <cell r="P51">
            <v>2491111.111111111</v>
          </cell>
          <cell r="Q51">
            <v>2590000</v>
          </cell>
          <cell r="R51">
            <v>2213675.2140000002</v>
          </cell>
          <cell r="S51">
            <v>98888.888890000002</v>
          </cell>
          <cell r="T51">
            <v>3.9696699379999999E-2</v>
          </cell>
          <cell r="U51">
            <v>7.9036574489999997E-2</v>
          </cell>
          <cell r="V51">
            <v>2590000</v>
          </cell>
          <cell r="W51" t="str">
            <v>אופיר סולומון</v>
          </cell>
        </row>
        <row r="52">
          <cell r="A52">
            <v>42</v>
          </cell>
          <cell r="B52" t="str">
            <v>S3-A42</v>
          </cell>
          <cell r="C52" t="str">
            <v>צפון מזרח</v>
          </cell>
          <cell r="D52">
            <v>4</v>
          </cell>
          <cell r="E52">
            <v>35</v>
          </cell>
          <cell r="F52">
            <v>3.5</v>
          </cell>
          <cell r="G52">
            <v>52</v>
          </cell>
          <cell r="H52">
            <v>91</v>
          </cell>
          <cell r="I52">
            <v>15</v>
          </cell>
          <cell r="J52">
            <v>96</v>
          </cell>
          <cell r="K52">
            <v>2304000</v>
          </cell>
          <cell r="L52">
            <v>27333.333330000001</v>
          </cell>
          <cell r="M52">
            <v>2624000</v>
          </cell>
          <cell r="N52">
            <v>25379.91923</v>
          </cell>
          <cell r="O52">
            <v>2290000</v>
          </cell>
          <cell r="P52">
            <v>2309572.6495726495</v>
          </cell>
          <cell r="Q52"/>
          <cell r="R52">
            <v>0</v>
          </cell>
          <cell r="S52">
            <v>0</v>
          </cell>
          <cell r="T52" t="str">
            <v/>
          </cell>
          <cell r="U52">
            <v>0.13614092219999999</v>
          </cell>
          <cell r="V52"/>
          <cell r="W52"/>
        </row>
        <row r="53">
          <cell r="A53">
            <v>43</v>
          </cell>
          <cell r="B53" t="str">
            <v>S3-B43</v>
          </cell>
          <cell r="C53" t="str">
            <v>דרום מזרח</v>
          </cell>
          <cell r="D53">
            <v>3</v>
          </cell>
          <cell r="E53">
            <v>21</v>
          </cell>
          <cell r="F53">
            <v>3</v>
          </cell>
          <cell r="G53">
            <v>56</v>
          </cell>
          <cell r="H53">
            <v>80</v>
          </cell>
          <cell r="I53">
            <v>15</v>
          </cell>
          <cell r="J53">
            <v>85</v>
          </cell>
          <cell r="K53">
            <v>2040000</v>
          </cell>
          <cell r="L53">
            <v>28235.294119999999</v>
          </cell>
          <cell r="M53">
            <v>2400000</v>
          </cell>
          <cell r="N53">
            <v>27608.97436</v>
          </cell>
          <cell r="O53">
            <v>2190000</v>
          </cell>
          <cell r="P53">
            <v>2208717.948717949</v>
          </cell>
          <cell r="Q53"/>
          <cell r="R53">
            <v>0</v>
          </cell>
          <cell r="S53">
            <v>0</v>
          </cell>
          <cell r="T53" t="str">
            <v/>
          </cell>
          <cell r="U53">
            <v>8.6603204089999997E-2</v>
          </cell>
          <cell r="V53"/>
          <cell r="W53"/>
        </row>
        <row r="54">
          <cell r="A54">
            <v>44</v>
          </cell>
          <cell r="B54" t="str">
            <v>S3-C44</v>
          </cell>
          <cell r="C54" t="str">
            <v>דרום מערב</v>
          </cell>
          <cell r="D54">
            <v>4</v>
          </cell>
          <cell r="E54">
            <v>26</v>
          </cell>
          <cell r="F54">
            <v>4.5</v>
          </cell>
          <cell r="G54">
            <v>32</v>
          </cell>
          <cell r="H54">
            <v>88</v>
          </cell>
          <cell r="I54">
            <v>15</v>
          </cell>
          <cell r="J54">
            <v>93</v>
          </cell>
          <cell r="K54">
            <v>2232000</v>
          </cell>
          <cell r="L54">
            <v>26741.93548</v>
          </cell>
          <cell r="M54">
            <v>2487000</v>
          </cell>
          <cell r="N54">
            <v>26474.358970000001</v>
          </cell>
          <cell r="O54">
            <v>2310000</v>
          </cell>
          <cell r="P54">
            <v>2329743.58974359</v>
          </cell>
          <cell r="Q54">
            <v>2210000</v>
          </cell>
          <cell r="R54">
            <v>1888888.889</v>
          </cell>
          <cell r="S54">
            <v>-119743.5897</v>
          </cell>
          <cell r="T54">
            <v>-5.139775479E-2</v>
          </cell>
          <cell r="U54">
            <v>6.7499449700000005E-2</v>
          </cell>
          <cell r="V54">
            <v>2210000</v>
          </cell>
          <cell r="W54" t="str">
            <v>נאור אשר</v>
          </cell>
        </row>
        <row r="55">
          <cell r="A55">
            <v>45</v>
          </cell>
          <cell r="B55" t="str">
            <v>S3-D45</v>
          </cell>
          <cell r="C55" t="str">
            <v>צפון מערב</v>
          </cell>
          <cell r="D55">
            <v>4</v>
          </cell>
          <cell r="E55">
            <v>36</v>
          </cell>
          <cell r="F55">
            <v>4.5</v>
          </cell>
          <cell r="G55">
            <v>53</v>
          </cell>
          <cell r="H55">
            <v>102</v>
          </cell>
          <cell r="I55">
            <v>15</v>
          </cell>
          <cell r="J55">
            <v>107</v>
          </cell>
          <cell r="K55">
            <v>2568000</v>
          </cell>
          <cell r="L55">
            <v>25495.327099999999</v>
          </cell>
          <cell r="M55">
            <v>2728000</v>
          </cell>
          <cell r="N55">
            <v>24620.412270000001</v>
          </cell>
          <cell r="O55">
            <v>2490000</v>
          </cell>
          <cell r="P55">
            <v>2511282.0512820515</v>
          </cell>
          <cell r="Q55">
            <v>2700000</v>
          </cell>
          <cell r="R55">
            <v>2307692.3080000002</v>
          </cell>
          <cell r="S55">
            <v>188717.94870000001</v>
          </cell>
          <cell r="T55">
            <v>7.5148049829999994E-2</v>
          </cell>
          <cell r="U55">
            <v>8.6297733309999999E-2</v>
          </cell>
          <cell r="V55">
            <v>2700000</v>
          </cell>
          <cell r="W55" t="str">
            <v>שושי קריספין</v>
          </cell>
        </row>
        <row r="56">
          <cell r="A56">
            <v>46</v>
          </cell>
          <cell r="B56" t="str">
            <v>S4-A46</v>
          </cell>
          <cell r="C56" t="str">
            <v>צפון מזרח</v>
          </cell>
          <cell r="D56">
            <v>4</v>
          </cell>
          <cell r="E56">
            <v>1</v>
          </cell>
          <cell r="F56">
            <v>3</v>
          </cell>
          <cell r="G56">
            <v>57</v>
          </cell>
          <cell r="H56">
            <v>91</v>
          </cell>
          <cell r="I56">
            <v>15</v>
          </cell>
          <cell r="J56">
            <v>96</v>
          </cell>
          <cell r="K56">
            <v>2304000</v>
          </cell>
          <cell r="L56">
            <v>27750</v>
          </cell>
          <cell r="M56">
            <v>2664000</v>
          </cell>
          <cell r="N56">
            <v>25601.57791</v>
          </cell>
          <cell r="O56">
            <v>2310000</v>
          </cell>
          <cell r="P56">
            <v>2329743.58974359</v>
          </cell>
          <cell r="Q56"/>
          <cell r="R56">
            <v>0</v>
          </cell>
          <cell r="S56">
            <v>0</v>
          </cell>
          <cell r="T56" t="str">
            <v/>
          </cell>
          <cell r="U56">
            <v>0.14347347569999999</v>
          </cell>
          <cell r="V56"/>
          <cell r="W56"/>
        </row>
        <row r="57">
          <cell r="A57">
            <v>47</v>
          </cell>
          <cell r="B57" t="str">
            <v>S4-B47</v>
          </cell>
          <cell r="C57" t="str">
            <v>דרום מזרח</v>
          </cell>
          <cell r="D57">
            <v>3</v>
          </cell>
          <cell r="E57">
            <v>20</v>
          </cell>
          <cell r="F57">
            <v>3.5</v>
          </cell>
          <cell r="G57">
            <v>59</v>
          </cell>
          <cell r="H57">
            <v>80</v>
          </cell>
          <cell r="I57">
            <v>15</v>
          </cell>
          <cell r="J57">
            <v>85</v>
          </cell>
          <cell r="K57">
            <v>2040000</v>
          </cell>
          <cell r="L57">
            <v>28705.88235</v>
          </cell>
          <cell r="M57">
            <v>2440000</v>
          </cell>
          <cell r="N57">
            <v>27861.111110000002</v>
          </cell>
          <cell r="O57">
            <v>2210000</v>
          </cell>
          <cell r="P57">
            <v>2228888.888888889</v>
          </cell>
          <cell r="Q57"/>
          <cell r="R57">
            <v>0</v>
          </cell>
          <cell r="S57">
            <v>0</v>
          </cell>
          <cell r="T57" t="str">
            <v/>
          </cell>
          <cell r="U57">
            <v>9.4715852439999998E-2</v>
          </cell>
          <cell r="V57"/>
          <cell r="W57"/>
        </row>
        <row r="58">
          <cell r="A58">
            <v>48</v>
          </cell>
          <cell r="B58" t="str">
            <v>S4-C48</v>
          </cell>
          <cell r="C58" t="str">
            <v>דרום מערב</v>
          </cell>
          <cell r="D58">
            <v>4</v>
          </cell>
          <cell r="E58">
            <v>8</v>
          </cell>
          <cell r="F58">
            <v>4</v>
          </cell>
          <cell r="G58">
            <v>15</v>
          </cell>
          <cell r="H58">
            <v>88</v>
          </cell>
          <cell r="I58">
            <v>15</v>
          </cell>
          <cell r="J58">
            <v>93</v>
          </cell>
          <cell r="K58">
            <v>2232000</v>
          </cell>
          <cell r="L58">
            <v>27172.043010000001</v>
          </cell>
          <cell r="M58">
            <v>2527000</v>
          </cell>
          <cell r="N58">
            <v>26703.574199999999</v>
          </cell>
          <cell r="O58">
            <v>2330000</v>
          </cell>
          <cell r="P58">
            <v>2349914.52991453</v>
          </cell>
          <cell r="Q58">
            <v>2480000</v>
          </cell>
          <cell r="R58">
            <v>2101694.915</v>
          </cell>
          <cell r="S58">
            <v>130085.47010000001</v>
          </cell>
          <cell r="T58">
            <v>5.5357532549999998E-2</v>
          </cell>
          <cell r="U58">
            <v>7.5358259979999995E-2</v>
          </cell>
          <cell r="V58">
            <v>2480000</v>
          </cell>
          <cell r="W58" t="str">
            <v>אילן ביבי</v>
          </cell>
        </row>
        <row r="59">
          <cell r="A59">
            <v>49</v>
          </cell>
          <cell r="B59" t="str">
            <v>S4-D49</v>
          </cell>
          <cell r="C59" t="str">
            <v>צפון מערב</v>
          </cell>
          <cell r="D59">
            <v>4</v>
          </cell>
          <cell r="E59">
            <v>12</v>
          </cell>
          <cell r="F59">
            <v>5</v>
          </cell>
          <cell r="G59">
            <v>54</v>
          </cell>
          <cell r="H59">
            <v>102</v>
          </cell>
          <cell r="I59">
            <v>15</v>
          </cell>
          <cell r="J59">
            <v>107</v>
          </cell>
          <cell r="K59">
            <v>2568000</v>
          </cell>
          <cell r="L59">
            <v>25869.158879999999</v>
          </cell>
          <cell r="M59">
            <v>2768000</v>
          </cell>
          <cell r="N59">
            <v>24818.166580000001</v>
          </cell>
          <cell r="O59">
            <v>2510000</v>
          </cell>
          <cell r="P59">
            <v>2531452.9914529915</v>
          </cell>
          <cell r="Q59">
            <v>2740000</v>
          </cell>
          <cell r="R59">
            <v>2322033.898</v>
          </cell>
          <cell r="S59">
            <v>208547.0085</v>
          </cell>
          <cell r="T59">
            <v>8.2382335070000007E-2</v>
          </cell>
          <cell r="U59">
            <v>9.3443176449999998E-2</v>
          </cell>
          <cell r="V59">
            <v>2740000</v>
          </cell>
          <cell r="W59" t="str">
            <v>קורסיה אשר</v>
          </cell>
        </row>
        <row r="60">
          <cell r="A60">
            <v>50</v>
          </cell>
          <cell r="B60" t="str">
            <v>S5-A50</v>
          </cell>
          <cell r="C60" t="str">
            <v>צפון מזרח</v>
          </cell>
          <cell r="D60">
            <v>4</v>
          </cell>
          <cell r="E60">
            <v>28</v>
          </cell>
          <cell r="F60">
            <v>4</v>
          </cell>
          <cell r="G60">
            <v>50</v>
          </cell>
          <cell r="H60">
            <v>91</v>
          </cell>
          <cell r="I60">
            <v>15</v>
          </cell>
          <cell r="J60">
            <v>96</v>
          </cell>
          <cell r="K60">
            <v>2304000</v>
          </cell>
          <cell r="L60">
            <v>28166.666669999999</v>
          </cell>
          <cell r="M60">
            <v>2704000</v>
          </cell>
          <cell r="N60">
            <v>25823.23659</v>
          </cell>
          <cell r="O60">
            <v>2330000</v>
          </cell>
          <cell r="P60">
            <v>2349914.52991453</v>
          </cell>
          <cell r="Q60"/>
          <cell r="R60">
            <v>0</v>
          </cell>
          <cell r="S60">
            <v>0</v>
          </cell>
          <cell r="T60" t="str">
            <v/>
          </cell>
          <cell r="U60">
            <v>0.15068014839999999</v>
          </cell>
          <cell r="V60"/>
          <cell r="W60"/>
        </row>
        <row r="61">
          <cell r="A61">
            <v>51</v>
          </cell>
          <cell r="B61" t="str">
            <v>S5-B51</v>
          </cell>
          <cell r="C61" t="str">
            <v>דרום מזרח</v>
          </cell>
          <cell r="D61">
            <v>3</v>
          </cell>
          <cell r="E61">
            <v>2</v>
          </cell>
          <cell r="F61">
            <v>5.5</v>
          </cell>
          <cell r="G61">
            <v>44</v>
          </cell>
          <cell r="H61">
            <v>80</v>
          </cell>
          <cell r="I61">
            <v>15</v>
          </cell>
          <cell r="J61">
            <v>85</v>
          </cell>
          <cell r="K61">
            <v>2040000</v>
          </cell>
          <cell r="L61">
            <v>29176.470590000001</v>
          </cell>
          <cell r="M61">
            <v>2480000</v>
          </cell>
          <cell r="N61">
            <v>28113.247859999999</v>
          </cell>
          <cell r="O61">
            <v>2230000</v>
          </cell>
          <cell r="P61">
            <v>2249059.829059829</v>
          </cell>
          <cell r="Q61"/>
          <cell r="R61">
            <v>0</v>
          </cell>
          <cell r="S61">
            <v>0</v>
          </cell>
          <cell r="T61" t="str">
            <v/>
          </cell>
          <cell r="U61">
            <v>0.1026829824</v>
          </cell>
          <cell r="V61"/>
          <cell r="W61"/>
        </row>
        <row r="62">
          <cell r="A62">
            <v>52</v>
          </cell>
          <cell r="B62" t="str">
            <v>S5-C52</v>
          </cell>
          <cell r="C62" t="str">
            <v>דרום מערב</v>
          </cell>
          <cell r="D62">
            <v>4</v>
          </cell>
          <cell r="E62">
            <v>27</v>
          </cell>
          <cell r="F62">
            <v>4</v>
          </cell>
          <cell r="G62">
            <v>55</v>
          </cell>
          <cell r="H62">
            <v>88</v>
          </cell>
          <cell r="I62">
            <v>15</v>
          </cell>
          <cell r="J62">
            <v>93</v>
          </cell>
          <cell r="K62">
            <v>2232000</v>
          </cell>
          <cell r="L62">
            <v>27602.150539999999</v>
          </cell>
          <cell r="M62">
            <v>2567000</v>
          </cell>
          <cell r="N62">
            <v>26932.789430000001</v>
          </cell>
          <cell r="O62">
            <v>2350000</v>
          </cell>
          <cell r="P62">
            <v>2370085.47008547</v>
          </cell>
          <cell r="Q62"/>
          <cell r="R62">
            <v>0</v>
          </cell>
          <cell r="S62">
            <v>0</v>
          </cell>
          <cell r="T62" t="str">
            <v/>
          </cell>
          <cell r="U62">
            <v>8.3083303280000007E-2</v>
          </cell>
          <cell r="V62"/>
          <cell r="W62"/>
        </row>
        <row r="63">
          <cell r="A63">
            <v>53</v>
          </cell>
          <cell r="B63" t="str">
            <v>S5-D53</v>
          </cell>
          <cell r="C63" t="str">
            <v>צפון מערב</v>
          </cell>
          <cell r="D63">
            <v>4</v>
          </cell>
          <cell r="E63">
            <v>3</v>
          </cell>
          <cell r="F63">
            <v>5.5</v>
          </cell>
          <cell r="G63">
            <v>51</v>
          </cell>
          <cell r="H63">
            <v>102</v>
          </cell>
          <cell r="I63">
            <v>15</v>
          </cell>
          <cell r="J63">
            <v>107</v>
          </cell>
          <cell r="K63">
            <v>2568000</v>
          </cell>
          <cell r="L63">
            <v>26242.99065</v>
          </cell>
          <cell r="M63">
            <v>2808000</v>
          </cell>
          <cell r="N63">
            <v>25015.920900000001</v>
          </cell>
          <cell r="O63">
            <v>2530000</v>
          </cell>
          <cell r="P63">
            <v>2551623.9316239315</v>
          </cell>
          <cell r="Q63">
            <v>2750000</v>
          </cell>
          <cell r="R63">
            <v>2330508.4750000001</v>
          </cell>
          <cell r="S63">
            <v>198376.06839999999</v>
          </cell>
          <cell r="T63">
            <v>7.7745025790000005E-2</v>
          </cell>
          <cell r="U63">
            <v>0.1004756482</v>
          </cell>
          <cell r="V63">
            <v>2750000</v>
          </cell>
          <cell r="W63" t="str">
            <v>יוסף אמנון</v>
          </cell>
        </row>
        <row r="64">
          <cell r="A64">
            <v>54</v>
          </cell>
          <cell r="B64" t="str">
            <v>S6-A54</v>
          </cell>
          <cell r="C64" t="str">
            <v>צפון מזרח</v>
          </cell>
          <cell r="D64">
            <v>4</v>
          </cell>
          <cell r="E64">
            <v>5</v>
          </cell>
          <cell r="F64">
            <v>6.5</v>
          </cell>
          <cell r="G64">
            <v>45</v>
          </cell>
          <cell r="H64">
            <v>91</v>
          </cell>
          <cell r="I64">
            <v>15</v>
          </cell>
          <cell r="J64">
            <v>96</v>
          </cell>
          <cell r="K64">
            <v>2304000</v>
          </cell>
          <cell r="L64">
            <v>28583.333330000001</v>
          </cell>
          <cell r="M64">
            <v>2744000</v>
          </cell>
          <cell r="N64">
            <v>26044.895280000001</v>
          </cell>
          <cell r="O64">
            <v>2350000</v>
          </cell>
          <cell r="P64">
            <v>2370085.47008547</v>
          </cell>
          <cell r="Q64"/>
          <cell r="R64">
            <v>0</v>
          </cell>
          <cell r="S64">
            <v>0</v>
          </cell>
          <cell r="T64" t="str">
            <v/>
          </cell>
          <cell r="U64">
            <v>0.15776415429999999</v>
          </cell>
          <cell r="V64"/>
          <cell r="W64"/>
        </row>
        <row r="65">
          <cell r="A65">
            <v>55</v>
          </cell>
          <cell r="B65" t="str">
            <v>S6-B55</v>
          </cell>
          <cell r="C65" t="str">
            <v>דרום מזרח</v>
          </cell>
          <cell r="D65">
            <v>3</v>
          </cell>
          <cell r="E65">
            <v>34</v>
          </cell>
          <cell r="F65">
            <v>6.5</v>
          </cell>
          <cell r="G65">
            <v>33</v>
          </cell>
          <cell r="H65">
            <v>80</v>
          </cell>
          <cell r="I65">
            <v>15</v>
          </cell>
          <cell r="J65">
            <v>85</v>
          </cell>
          <cell r="K65">
            <v>2040000</v>
          </cell>
          <cell r="L65">
            <v>29647.058819999998</v>
          </cell>
          <cell r="M65">
            <v>2520000</v>
          </cell>
          <cell r="N65">
            <v>28365.384620000001</v>
          </cell>
          <cell r="O65">
            <v>2250000</v>
          </cell>
          <cell r="P65">
            <v>2269230.7692307695</v>
          </cell>
          <cell r="Q65"/>
          <cell r="R65">
            <v>0</v>
          </cell>
          <cell r="S65">
            <v>0</v>
          </cell>
          <cell r="T65" t="str">
            <v/>
          </cell>
          <cell r="U65">
            <v>0.1105084746</v>
          </cell>
          <cell r="V65"/>
          <cell r="W65"/>
        </row>
        <row r="66">
          <cell r="A66">
            <v>56</v>
          </cell>
          <cell r="B66" t="str">
            <v>S6-C56</v>
          </cell>
          <cell r="C66" t="str">
            <v>דרום מערב</v>
          </cell>
          <cell r="D66">
            <v>4</v>
          </cell>
          <cell r="E66">
            <v>64</v>
          </cell>
          <cell r="F66">
            <v>4</v>
          </cell>
          <cell r="G66">
            <v>58</v>
          </cell>
          <cell r="H66">
            <v>88</v>
          </cell>
          <cell r="I66">
            <v>15</v>
          </cell>
          <cell r="J66">
            <v>93</v>
          </cell>
          <cell r="K66">
            <v>2232000</v>
          </cell>
          <cell r="L66">
            <v>28032.25806</v>
          </cell>
          <cell r="M66">
            <v>2607000</v>
          </cell>
          <cell r="N66">
            <v>27162.004659999999</v>
          </cell>
          <cell r="O66">
            <v>2370000</v>
          </cell>
          <cell r="P66">
            <v>2390256.41025641</v>
          </cell>
          <cell r="Q66"/>
          <cell r="R66">
            <v>0</v>
          </cell>
          <cell r="S66">
            <v>0</v>
          </cell>
          <cell r="T66" t="str">
            <v/>
          </cell>
          <cell r="U66">
            <v>9.0677966099999993E-2</v>
          </cell>
          <cell r="V66"/>
          <cell r="W66"/>
        </row>
        <row r="67">
          <cell r="A67">
            <v>57</v>
          </cell>
          <cell r="B67" t="str">
            <v>S6-D57</v>
          </cell>
          <cell r="C67" t="str">
            <v>צפון מערב</v>
          </cell>
          <cell r="D67">
            <v>4</v>
          </cell>
          <cell r="E67">
            <v>4</v>
          </cell>
          <cell r="F67">
            <v>7</v>
          </cell>
          <cell r="G67">
            <v>47</v>
          </cell>
          <cell r="H67">
            <v>102</v>
          </cell>
          <cell r="I67">
            <v>15</v>
          </cell>
          <cell r="J67">
            <v>107</v>
          </cell>
          <cell r="K67">
            <v>2568000</v>
          </cell>
          <cell r="L67">
            <v>26616.82243</v>
          </cell>
          <cell r="M67">
            <v>2848000</v>
          </cell>
          <cell r="N67">
            <v>25213.675210000001</v>
          </cell>
          <cell r="O67">
            <v>2550000</v>
          </cell>
          <cell r="P67">
            <v>2571794.8717948715</v>
          </cell>
          <cell r="Q67"/>
          <cell r="R67">
            <v>0</v>
          </cell>
          <cell r="S67">
            <v>0</v>
          </cell>
          <cell r="T67" t="str">
            <v/>
          </cell>
          <cell r="U67">
            <v>0.10739780660000001</v>
          </cell>
          <cell r="V67"/>
          <cell r="W67"/>
        </row>
        <row r="68">
          <cell r="A68">
            <v>58</v>
          </cell>
          <cell r="B68" t="str">
            <v>S7-A58</v>
          </cell>
          <cell r="C68" t="str">
            <v>צפון מזרח</v>
          </cell>
          <cell r="D68">
            <v>4</v>
          </cell>
          <cell r="E68">
            <v>19</v>
          </cell>
          <cell r="F68">
            <v>6</v>
          </cell>
          <cell r="G68">
            <v>49</v>
          </cell>
          <cell r="H68">
            <v>93</v>
          </cell>
          <cell r="I68">
            <v>15</v>
          </cell>
          <cell r="J68">
            <v>98</v>
          </cell>
          <cell r="K68">
            <v>2402000</v>
          </cell>
          <cell r="L68">
            <v>29408.163270000001</v>
          </cell>
          <cell r="M68">
            <v>2882000</v>
          </cell>
          <cell r="N68">
            <v>25701.681830000001</v>
          </cell>
          <cell r="O68">
            <v>2370000</v>
          </cell>
          <cell r="P68">
            <v>2390256.41025641</v>
          </cell>
          <cell r="Q68"/>
          <cell r="R68">
            <v>0</v>
          </cell>
          <cell r="S68">
            <v>0</v>
          </cell>
          <cell r="T68" t="str">
            <v/>
          </cell>
          <cell r="U68">
            <v>0.2057283845</v>
          </cell>
          <cell r="V68"/>
          <cell r="W68"/>
        </row>
        <row r="69">
          <cell r="A69">
            <v>59</v>
          </cell>
          <cell r="B69" t="str">
            <v>S7-B59</v>
          </cell>
          <cell r="C69" t="str">
            <v>דרום מזרח</v>
          </cell>
          <cell r="D69">
            <v>3</v>
          </cell>
          <cell r="E69">
            <v>9</v>
          </cell>
          <cell r="F69">
            <v>5.5</v>
          </cell>
          <cell r="G69">
            <v>17</v>
          </cell>
          <cell r="H69">
            <v>82</v>
          </cell>
          <cell r="I69">
            <v>15</v>
          </cell>
          <cell r="J69">
            <v>87</v>
          </cell>
          <cell r="K69">
            <v>2138000</v>
          </cell>
          <cell r="L69">
            <v>30551.724139999998</v>
          </cell>
          <cell r="M69">
            <v>2658000</v>
          </cell>
          <cell r="N69">
            <v>27919.533039999998</v>
          </cell>
          <cell r="O69">
            <v>2270000</v>
          </cell>
          <cell r="P69">
            <v>2289401.7094017095</v>
          </cell>
          <cell r="Q69"/>
          <cell r="R69">
            <v>0</v>
          </cell>
          <cell r="S69">
            <v>0</v>
          </cell>
          <cell r="T69" t="str">
            <v/>
          </cell>
          <cell r="U69">
            <v>0.161002016</v>
          </cell>
          <cell r="V69"/>
          <cell r="W69"/>
        </row>
        <row r="70">
          <cell r="A70">
            <v>60</v>
          </cell>
          <cell r="B70" t="str">
            <v>S7-C60</v>
          </cell>
          <cell r="C70" t="str">
            <v>דרום מערב</v>
          </cell>
          <cell r="D70">
            <v>4</v>
          </cell>
          <cell r="E70">
            <v>17</v>
          </cell>
          <cell r="F70">
            <v>5</v>
          </cell>
          <cell r="G70">
            <v>28</v>
          </cell>
          <cell r="H70">
            <v>88</v>
          </cell>
          <cell r="I70">
            <v>15</v>
          </cell>
          <cell r="J70">
            <v>93</v>
          </cell>
          <cell r="K70">
            <v>2282000</v>
          </cell>
          <cell r="L70">
            <v>29000</v>
          </cell>
          <cell r="M70">
            <v>2697000</v>
          </cell>
          <cell r="N70">
            <v>27391.21989</v>
          </cell>
          <cell r="O70">
            <v>2390000</v>
          </cell>
          <cell r="P70">
            <v>2410427.3504273505</v>
          </cell>
          <cell r="Q70"/>
          <cell r="R70">
            <v>0</v>
          </cell>
          <cell r="S70">
            <v>0</v>
          </cell>
          <cell r="T70" t="str">
            <v/>
          </cell>
          <cell r="U70">
            <v>0.11888873129999999</v>
          </cell>
          <cell r="V70"/>
          <cell r="W70"/>
        </row>
        <row r="71">
          <cell r="A71">
            <v>61</v>
          </cell>
          <cell r="B71" t="str">
            <v>S7-D61</v>
          </cell>
          <cell r="C71" t="str">
            <v>צפון מערב</v>
          </cell>
          <cell r="D71">
            <v>4</v>
          </cell>
          <cell r="E71">
            <v>18</v>
          </cell>
          <cell r="F71">
            <v>6.5</v>
          </cell>
          <cell r="G71">
            <v>48</v>
          </cell>
          <cell r="H71">
            <v>102</v>
          </cell>
          <cell r="I71">
            <v>15</v>
          </cell>
          <cell r="J71">
            <v>107</v>
          </cell>
          <cell r="K71">
            <v>2618000</v>
          </cell>
          <cell r="L71">
            <v>27457.943930000001</v>
          </cell>
          <cell r="M71">
            <v>2938000</v>
          </cell>
          <cell r="N71">
            <v>25411.429530000001</v>
          </cell>
          <cell r="O71">
            <v>2570000</v>
          </cell>
          <cell r="P71">
            <v>2591965.8119658115</v>
          </cell>
          <cell r="Q71">
            <v>2800000</v>
          </cell>
          <cell r="R71">
            <v>2372881.3560000001</v>
          </cell>
          <cell r="S71">
            <v>208034.18799999999</v>
          </cell>
          <cell r="T71">
            <v>8.026116204E-2</v>
          </cell>
          <cell r="U71">
            <v>0.133502605</v>
          </cell>
          <cell r="V71">
            <v>2800000</v>
          </cell>
          <cell r="W71" t="str">
            <v xml:space="preserve">אוהב ציון </v>
          </cell>
        </row>
        <row r="72">
          <cell r="A72">
            <v>62</v>
          </cell>
          <cell r="B72" t="str">
            <v>S8-P62</v>
          </cell>
          <cell r="C72" t="str">
            <v>צפון דרום מזרח</v>
          </cell>
          <cell r="D72">
            <v>5</v>
          </cell>
          <cell r="E72">
            <v>62</v>
          </cell>
          <cell r="F72">
            <v>5</v>
          </cell>
          <cell r="G72">
            <v>27</v>
          </cell>
          <cell r="H72">
            <v>120</v>
          </cell>
          <cell r="I72">
            <v>64</v>
          </cell>
          <cell r="J72">
            <v>142</v>
          </cell>
          <cell r="K72">
            <v>3458000</v>
          </cell>
          <cell r="L72">
            <v>29577.464790000002</v>
          </cell>
          <cell r="M72">
            <v>4200000</v>
          </cell>
          <cell r="N72">
            <v>26642.450140000001</v>
          </cell>
          <cell r="O72">
            <v>3170000</v>
          </cell>
          <cell r="P72">
            <v>3197094.017</v>
          </cell>
          <cell r="Q72"/>
          <cell r="R72">
            <v>0</v>
          </cell>
          <cell r="S72">
            <v>0</v>
          </cell>
          <cell r="T72" t="str">
            <v/>
          </cell>
          <cell r="U72"/>
          <cell r="V72"/>
          <cell r="W72"/>
        </row>
        <row r="73">
          <cell r="A73">
            <v>63</v>
          </cell>
          <cell r="B73" t="str">
            <v>S8-P63</v>
          </cell>
          <cell r="C73" t="str">
            <v>צפון דרום מערב</v>
          </cell>
          <cell r="D73">
            <v>5</v>
          </cell>
          <cell r="E73">
            <v>63</v>
          </cell>
          <cell r="F73">
            <v>5</v>
          </cell>
          <cell r="G73">
            <v>26</v>
          </cell>
          <cell r="H73">
            <v>148</v>
          </cell>
          <cell r="I73">
            <v>49</v>
          </cell>
          <cell r="J73">
            <v>165</v>
          </cell>
          <cell r="K73">
            <v>4010000</v>
          </cell>
          <cell r="L73">
            <v>27272.727269999999</v>
          </cell>
          <cell r="M73">
            <v>4500000</v>
          </cell>
          <cell r="N73">
            <v>24668.51467</v>
          </cell>
          <cell r="O73">
            <v>3620000</v>
          </cell>
          <cell r="P73">
            <v>3650940.1710000001</v>
          </cell>
          <cell r="Q73"/>
          <cell r="R73">
            <v>0</v>
          </cell>
          <cell r="S73">
            <v>0</v>
          </cell>
          <cell r="T73" t="str">
            <v/>
          </cell>
          <cell r="U73"/>
          <cell r="V73"/>
          <cell r="W73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B41C-5D78-494C-8BA6-74AA0E29E75C}">
  <dimension ref="A1:M999"/>
  <sheetViews>
    <sheetView rightToLeft="1" tabSelected="1" workbookViewId="0">
      <selection activeCell="G38" sqref="G38"/>
    </sheetView>
  </sheetViews>
  <sheetFormatPr defaultColWidth="14.42578125" defaultRowHeight="15" customHeight="1" x14ac:dyDescent="0.25"/>
  <cols>
    <col min="1" max="2" width="8.7109375" customWidth="1"/>
    <col min="3" max="3" width="22.85546875" customWidth="1"/>
    <col min="4" max="4" width="8.7109375" customWidth="1"/>
    <col min="5" max="5" width="12.42578125" customWidth="1"/>
    <col min="6" max="8" width="8.7109375" customWidth="1"/>
    <col min="9" max="9" width="15.42578125" customWidth="1"/>
    <col min="10" max="10" width="13.85546875" customWidth="1"/>
    <col min="11" max="11" width="11.42578125" customWidth="1"/>
    <col min="12" max="12" width="13.28515625" customWidth="1"/>
    <col min="13" max="13" width="43.85546875" customWidth="1"/>
    <col min="14" max="26" width="8.7109375" customWidth="1"/>
  </cols>
  <sheetData>
    <row r="1" spans="1:13" ht="14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4.25" customHeight="1" thickBot="1" x14ac:dyDescent="0.3">
      <c r="A2" s="4">
        <v>0</v>
      </c>
      <c r="B2" s="5">
        <v>1</v>
      </c>
      <c r="C2" s="5" t="str">
        <f>VLOOKUP(B2,[1]price!$A$10:$W$73,3,FALSE)</f>
        <v>צפון מזרח</v>
      </c>
      <c r="D2" s="5">
        <f>VLOOKUP(B2,[1]price!$A$10:$W$73,4,FALSE)</f>
        <v>5</v>
      </c>
      <c r="E2" s="5">
        <f>VLOOKUP(B2,[1]price!$A$10:$W$73,5,FALSE)</f>
        <v>23</v>
      </c>
      <c r="F2" s="6">
        <f>VLOOKUP(B2,[1]price!$A$10:$W$73,6,FALSE)</f>
        <v>4.5</v>
      </c>
      <c r="G2" s="5">
        <f>VLOOKUP(B2,[1]price!$A$10:$W$73,7,FALSE)</f>
        <v>4</v>
      </c>
      <c r="H2" s="5">
        <f>VLOOKUP(B2,[1]price!$A$10:$W$73,8,FALSE)</f>
        <v>130</v>
      </c>
      <c r="I2" s="5">
        <f>VLOOKUP(B2,[1]price!$A$10:$W$73,9,FALSE)</f>
        <v>157</v>
      </c>
      <c r="J2" s="7">
        <f>VLOOKUP(B2,[1]price!$A$10:$W$73,10,FALSE)</f>
        <v>183</v>
      </c>
      <c r="K2" s="8">
        <f>VLOOKUP(B2,[1]price!$A$10:$W$73,13,FALSE)</f>
        <v>4500000</v>
      </c>
      <c r="L2" s="5" t="str">
        <f>IF(VLOOKUP(B2,[1]price!$A$10:$W$73,23,FALSE) &lt;&gt; "","נמכר","")</f>
        <v/>
      </c>
      <c r="M2" s="9" t="s">
        <v>13</v>
      </c>
    </row>
    <row r="3" spans="1:13" ht="14.25" customHeight="1" x14ac:dyDescent="0.25">
      <c r="A3" s="10">
        <v>1</v>
      </c>
      <c r="B3" s="11">
        <v>2</v>
      </c>
      <c r="C3" s="11" t="str">
        <f>VLOOKUP(B3,[1]price!$A$10:$W$73,3,FALSE)</f>
        <v>צפון מזרח</v>
      </c>
      <c r="D3" s="11">
        <f>VLOOKUP(B3,[1]price!$A$10:$W$73,4,FALSE)</f>
        <v>4</v>
      </c>
      <c r="E3" s="11">
        <f>VLOOKUP(B3,[1]price!$A$10:$W$73,5,FALSE)</f>
        <v>41</v>
      </c>
      <c r="F3" s="12">
        <f>VLOOKUP(B3,[1]price!$A$10:$W$73,6,FALSE)</f>
        <v>3.5</v>
      </c>
      <c r="G3" s="11">
        <f>VLOOKUP(B3,[1]price!$A$10:$W$73,7,FALSE)</f>
        <v>41</v>
      </c>
      <c r="H3" s="11">
        <f>VLOOKUP(B3,[1]price!$A$10:$W$73,8,FALSE)</f>
        <v>88</v>
      </c>
      <c r="I3" s="11">
        <f>VLOOKUP(B3,[1]price!$A$10:$W$73,9,FALSE)</f>
        <v>15</v>
      </c>
      <c r="J3" s="13">
        <f>VLOOKUP(B3,[1]price!$A$10:$W$73,10,FALSE)</f>
        <v>93</v>
      </c>
      <c r="K3" s="14">
        <f>VLOOKUP(B3,[1]price!$A$10:$W$73,13,FALSE)</f>
        <v>2365000</v>
      </c>
      <c r="L3" s="11" t="str">
        <f>IF(VLOOKUP(B3,[1]price!$A$10:$W$73,23,FALSE) &lt;&gt; "","נמכר","")</f>
        <v>נמכר</v>
      </c>
      <c r="M3" s="15" t="s">
        <v>14</v>
      </c>
    </row>
    <row r="4" spans="1:13" ht="14.25" customHeight="1" x14ac:dyDescent="0.25">
      <c r="A4" s="16">
        <v>1</v>
      </c>
      <c r="B4" s="17">
        <v>3</v>
      </c>
      <c r="C4" s="17" t="str">
        <f>VLOOKUP(B4,[1]price!$A$10:$W$73,3,FALSE)</f>
        <v>דרום מזרח</v>
      </c>
      <c r="D4" s="17">
        <f>VLOOKUP(B4,[1]price!$A$10:$W$73,4,FALSE)</f>
        <v>4</v>
      </c>
      <c r="E4" s="17">
        <f>VLOOKUP(B4,[1]price!$A$10:$W$73,5,FALSE)</f>
        <v>40</v>
      </c>
      <c r="F4" s="18">
        <f>VLOOKUP(B4,[1]price!$A$10:$W$73,6,FALSE)</f>
        <v>2.5</v>
      </c>
      <c r="G4" s="17">
        <f>VLOOKUP(B4,[1]price!$A$10:$W$73,7,FALSE)</f>
        <v>42</v>
      </c>
      <c r="H4" s="17">
        <f>VLOOKUP(B4,[1]price!$A$10:$W$73,8,FALSE)</f>
        <v>88</v>
      </c>
      <c r="I4" s="17">
        <f>VLOOKUP(B4,[1]price!$A$10:$W$73,9,FALSE)</f>
        <v>15</v>
      </c>
      <c r="J4" s="19">
        <f>VLOOKUP(B4,[1]price!$A$10:$W$73,10,FALSE)</f>
        <v>93</v>
      </c>
      <c r="K4" s="20">
        <f>VLOOKUP(B4,[1]price!$A$10:$W$73,13,FALSE)</f>
        <v>2330000</v>
      </c>
      <c r="L4" s="17" t="str">
        <f>IF(VLOOKUP(B4,[1]price!$A$10:$W$73,23,FALSE) &lt;&gt; "","נמכר","")</f>
        <v>נמכר</v>
      </c>
      <c r="M4" s="21" t="s">
        <v>15</v>
      </c>
    </row>
    <row r="5" spans="1:13" ht="14.25" customHeight="1" x14ac:dyDescent="0.25">
      <c r="A5" s="16">
        <v>1</v>
      </c>
      <c r="B5" s="17">
        <v>4</v>
      </c>
      <c r="C5" s="17" t="str">
        <f>VLOOKUP(B5,[1]price!$A$10:$W$73,3,FALSE)</f>
        <v>דרום מערב</v>
      </c>
      <c r="D5" s="17">
        <f>VLOOKUP(B5,[1]price!$A$10:$W$73,4,FALSE)</f>
        <v>4</v>
      </c>
      <c r="E5" s="17">
        <f>VLOOKUP(B5,[1]price!$A$10:$W$73,5,FALSE)</f>
        <v>39</v>
      </c>
      <c r="F5" s="18">
        <f>VLOOKUP(B5,[1]price!$A$10:$W$73,6,FALSE)</f>
        <v>3.5</v>
      </c>
      <c r="G5" s="17">
        <f>VLOOKUP(B5,[1]price!$A$10:$W$73,7,FALSE)</f>
        <v>43</v>
      </c>
      <c r="H5" s="17">
        <f>VLOOKUP(B5,[1]price!$A$10:$W$73,8,FALSE)</f>
        <v>93</v>
      </c>
      <c r="I5" s="17">
        <f>VLOOKUP(B5,[1]price!$A$10:$W$73,9,FALSE)</f>
        <v>15</v>
      </c>
      <c r="J5" s="19">
        <f>VLOOKUP(B5,[1]price!$A$10:$W$73,10,FALSE)</f>
        <v>98</v>
      </c>
      <c r="K5" s="20">
        <f>VLOOKUP(B5,[1]price!$A$10:$W$73,13,FALSE)</f>
        <v>2592000</v>
      </c>
      <c r="L5" s="17" t="str">
        <f>IF(VLOOKUP(B5,[1]price!$A$10:$W$73,23,FALSE) &lt;&gt; "","נמכר","")</f>
        <v>נמכר</v>
      </c>
      <c r="M5" s="21" t="s">
        <v>16</v>
      </c>
    </row>
    <row r="6" spans="1:13" ht="14.25" customHeight="1" thickBot="1" x14ac:dyDescent="0.3">
      <c r="A6" s="22">
        <v>1</v>
      </c>
      <c r="B6" s="23">
        <v>5</v>
      </c>
      <c r="C6" s="23" t="str">
        <f>VLOOKUP(B6,[1]price!$A$10:$W$73,3,FALSE)</f>
        <v>צפון מערב</v>
      </c>
      <c r="D6" s="23">
        <f>VLOOKUP(B6,[1]price!$A$10:$W$73,4,FALSE)</f>
        <v>3</v>
      </c>
      <c r="E6" s="23">
        <f>VLOOKUP(B6,[1]price!$A$10:$W$73,5,FALSE)</f>
        <v>30</v>
      </c>
      <c r="F6" s="24">
        <f>VLOOKUP(B6,[1]price!$A$10:$W$73,6,FALSE)</f>
        <v>3</v>
      </c>
      <c r="G6" s="23">
        <f>VLOOKUP(B6,[1]price!$A$10:$W$73,7,FALSE)</f>
        <v>40</v>
      </c>
      <c r="H6" s="23">
        <f>VLOOKUP(B6,[1]price!$A$10:$W$73,8,FALSE)</f>
        <v>81</v>
      </c>
      <c r="I6" s="23">
        <f>VLOOKUP(B6,[1]price!$A$10:$W$73,9,FALSE)</f>
        <v>15</v>
      </c>
      <c r="J6" s="25">
        <f>VLOOKUP(B6,[1]price!$A$10:$W$73,10,FALSE)</f>
        <v>86</v>
      </c>
      <c r="K6" s="26">
        <f>VLOOKUP(B6,[1]price!$A$10:$W$73,13,FALSE)</f>
        <v>2304000</v>
      </c>
      <c r="L6" s="23" t="str">
        <f>IF(VLOOKUP(B6,[1]price!$A$10:$W$73,23,FALSE) &lt;&gt; "","נמכר","")</f>
        <v>נמכר</v>
      </c>
      <c r="M6" s="27" t="s">
        <v>17</v>
      </c>
    </row>
    <row r="7" spans="1:13" ht="14.25" customHeight="1" x14ac:dyDescent="0.25">
      <c r="A7" s="10">
        <v>2</v>
      </c>
      <c r="B7" s="11">
        <v>6</v>
      </c>
      <c r="C7" s="11" t="str">
        <f>VLOOKUP(B7,[1]price!$A$10:$W$73,3,FALSE)</f>
        <v>צפון מזרח</v>
      </c>
      <c r="D7" s="11">
        <f>VLOOKUP(B7,[1]price!$A$10:$W$73,4,FALSE)</f>
        <v>4</v>
      </c>
      <c r="E7" s="11">
        <f>VLOOKUP(B7,[1]price!$A$10:$W$73,5,FALSE)</f>
        <v>44</v>
      </c>
      <c r="F7" s="12">
        <f>VLOOKUP(B7,[1]price!$A$10:$W$73,6,FALSE)</f>
        <v>3.5</v>
      </c>
      <c r="G7" s="11">
        <f>VLOOKUP(B7,[1]price!$A$10:$W$73,7,FALSE)</f>
        <v>21</v>
      </c>
      <c r="H7" s="11">
        <f>VLOOKUP(B7,[1]price!$A$10:$W$73,8,FALSE)</f>
        <v>88</v>
      </c>
      <c r="I7" s="11">
        <f>VLOOKUP(B7,[1]price!$A$10:$W$73,9,FALSE)</f>
        <v>15</v>
      </c>
      <c r="J7" s="13">
        <f>VLOOKUP(B7,[1]price!$A$10:$W$73,10,FALSE)</f>
        <v>93</v>
      </c>
      <c r="K7" s="14">
        <f>VLOOKUP(B7,[1]price!$A$10:$W$73,13,FALSE)</f>
        <v>2405000</v>
      </c>
      <c r="L7" s="11" t="str">
        <f>IF(VLOOKUP(B7,[1]price!$A$10:$W$73,23,FALSE) &lt;&gt; "","נמכר","")</f>
        <v>נמכר</v>
      </c>
      <c r="M7" s="15" t="s">
        <v>14</v>
      </c>
    </row>
    <row r="8" spans="1:13" ht="14.25" customHeight="1" x14ac:dyDescent="0.25">
      <c r="A8" s="16">
        <v>2</v>
      </c>
      <c r="B8" s="17">
        <v>7</v>
      </c>
      <c r="C8" s="17" t="str">
        <f>VLOOKUP(B8,[1]price!$A$10:$W$73,3,FALSE)</f>
        <v>דרום מזרח</v>
      </c>
      <c r="D8" s="17">
        <f>VLOOKUP(B8,[1]price!$A$10:$W$73,4,FALSE)</f>
        <v>4</v>
      </c>
      <c r="E8" s="17">
        <f>VLOOKUP(B8,[1]price!$A$10:$W$73,5,FALSE)</f>
        <v>43</v>
      </c>
      <c r="F8" s="18">
        <f>VLOOKUP(B8,[1]price!$A$10:$W$73,6,FALSE)</f>
        <v>2.5</v>
      </c>
      <c r="G8" s="17">
        <f>VLOOKUP(B8,[1]price!$A$10:$W$73,7,FALSE)</f>
        <v>34</v>
      </c>
      <c r="H8" s="17">
        <f>VLOOKUP(B8,[1]price!$A$10:$W$73,8,FALSE)</f>
        <v>88</v>
      </c>
      <c r="I8" s="17">
        <f>VLOOKUP(B8,[1]price!$A$10:$W$73,9,FALSE)</f>
        <v>15</v>
      </c>
      <c r="J8" s="19">
        <f>VLOOKUP(B8,[1]price!$A$10:$W$73,10,FALSE)</f>
        <v>93</v>
      </c>
      <c r="K8" s="20">
        <f>VLOOKUP(B8,[1]price!$A$10:$W$73,13,FALSE)</f>
        <v>2370000</v>
      </c>
      <c r="L8" s="17" t="str">
        <f>IF(VLOOKUP(B8,[1]price!$A$10:$W$73,23,FALSE) &lt;&gt; "","נמכר","")</f>
        <v>נמכר</v>
      </c>
      <c r="M8" s="21" t="s">
        <v>15</v>
      </c>
    </row>
    <row r="9" spans="1:13" ht="14.25" customHeight="1" x14ac:dyDescent="0.25">
      <c r="A9" s="16">
        <v>2</v>
      </c>
      <c r="B9" s="17">
        <v>8</v>
      </c>
      <c r="C9" s="17" t="str">
        <f>VLOOKUP(B9,[1]price!$A$10:$W$73,3,FALSE)</f>
        <v>דרום מערב</v>
      </c>
      <c r="D9" s="17">
        <f>VLOOKUP(B9,[1]price!$A$10:$W$73,4,FALSE)</f>
        <v>4</v>
      </c>
      <c r="E9" s="17">
        <f>VLOOKUP(B9,[1]price!$A$10:$W$73,5,FALSE)</f>
        <v>42</v>
      </c>
      <c r="F9" s="18">
        <f>VLOOKUP(B9,[1]price!$A$10:$W$73,6,FALSE)</f>
        <v>3.5</v>
      </c>
      <c r="G9" s="17">
        <f>VLOOKUP(B9,[1]price!$A$10:$W$73,7,FALSE)</f>
        <v>3</v>
      </c>
      <c r="H9" s="17">
        <f>VLOOKUP(B9,[1]price!$A$10:$W$73,8,FALSE)</f>
        <v>93</v>
      </c>
      <c r="I9" s="17">
        <f>VLOOKUP(B9,[1]price!$A$10:$W$73,9,FALSE)</f>
        <v>15</v>
      </c>
      <c r="J9" s="19">
        <f>VLOOKUP(B9,[1]price!$A$10:$W$73,10,FALSE)</f>
        <v>98</v>
      </c>
      <c r="K9" s="20">
        <f>VLOOKUP(B9,[1]price!$A$10:$W$73,13,FALSE)</f>
        <v>2632000</v>
      </c>
      <c r="L9" s="17" t="str">
        <f>IF(VLOOKUP(B9,[1]price!$A$10:$W$73,23,FALSE) &lt;&gt; "","נמכר","")</f>
        <v>נמכר</v>
      </c>
      <c r="M9" s="21" t="s">
        <v>16</v>
      </c>
    </row>
    <row r="10" spans="1:13" ht="14.25" customHeight="1" thickBot="1" x14ac:dyDescent="0.3">
      <c r="A10" s="22">
        <v>2</v>
      </c>
      <c r="B10" s="23">
        <v>9</v>
      </c>
      <c r="C10" s="23" t="str">
        <f>VLOOKUP(B10,[1]price!$A$10:$W$73,3,FALSE)</f>
        <v>צפון מערב</v>
      </c>
      <c r="D10" s="23">
        <f>VLOOKUP(B10,[1]price!$A$10:$W$73,4,FALSE)</f>
        <v>3</v>
      </c>
      <c r="E10" s="23">
        <f>VLOOKUP(B10,[1]price!$A$10:$W$73,5,FALSE)</f>
        <v>29</v>
      </c>
      <c r="F10" s="24">
        <f>VLOOKUP(B10,[1]price!$A$10:$W$73,6,FALSE)</f>
        <v>3</v>
      </c>
      <c r="G10" s="23">
        <f>VLOOKUP(B10,[1]price!$A$10:$W$73,7,FALSE)</f>
        <v>39</v>
      </c>
      <c r="H10" s="23">
        <f>VLOOKUP(B10,[1]price!$A$10:$W$73,8,FALSE)</f>
        <v>81</v>
      </c>
      <c r="I10" s="23">
        <f>VLOOKUP(B10,[1]price!$A$10:$W$73,9,FALSE)</f>
        <v>15</v>
      </c>
      <c r="J10" s="25">
        <f>VLOOKUP(B10,[1]price!$A$10:$W$73,10,FALSE)</f>
        <v>86</v>
      </c>
      <c r="K10" s="26">
        <f>VLOOKUP(B10,[1]price!$A$10:$W$73,13,FALSE)</f>
        <v>2344000</v>
      </c>
      <c r="L10" s="23" t="str">
        <f>IF(VLOOKUP(B10,[1]price!$A$10:$W$73,23,FALSE) &lt;&gt; "","נמכר","")</f>
        <v>נמכר</v>
      </c>
      <c r="M10" s="27" t="s">
        <v>17</v>
      </c>
    </row>
    <row r="11" spans="1:13" ht="14.25" customHeight="1" x14ac:dyDescent="0.25">
      <c r="A11" s="10">
        <v>3</v>
      </c>
      <c r="B11" s="11">
        <v>10</v>
      </c>
      <c r="C11" s="11" t="str">
        <f>VLOOKUP(B11,[1]price!$A$10:$W$73,3,FALSE)</f>
        <v>צפון מזרח</v>
      </c>
      <c r="D11" s="11">
        <f>VLOOKUP(B11,[1]price!$A$10:$W$73,4,FALSE)</f>
        <v>4</v>
      </c>
      <c r="E11" s="11">
        <f>VLOOKUP(B11,[1]price!$A$10:$W$73,5,FALSE)</f>
        <v>47</v>
      </c>
      <c r="F11" s="12">
        <f>VLOOKUP(B11,[1]price!$A$10:$W$73,6,FALSE)</f>
        <v>3.5</v>
      </c>
      <c r="G11" s="11">
        <f>VLOOKUP(B11,[1]price!$A$10:$W$73,7,FALSE)</f>
        <v>35</v>
      </c>
      <c r="H11" s="11">
        <f>VLOOKUP(B11,[1]price!$A$10:$W$73,8,FALSE)</f>
        <v>88</v>
      </c>
      <c r="I11" s="11">
        <f>VLOOKUP(B11,[1]price!$A$10:$W$73,9,FALSE)</f>
        <v>15</v>
      </c>
      <c r="J11" s="13">
        <f>VLOOKUP(B11,[1]price!$A$10:$W$73,10,FALSE)</f>
        <v>93</v>
      </c>
      <c r="K11" s="14">
        <f>VLOOKUP(B11,[1]price!$A$10:$W$73,13,FALSE)</f>
        <v>2445000</v>
      </c>
      <c r="L11" s="11" t="str">
        <f>IF(VLOOKUP(B11,[1]price!$A$10:$W$73,23,FALSE) &lt;&gt; "","נמכר","")</f>
        <v>נמכר</v>
      </c>
      <c r="M11" s="15" t="s">
        <v>14</v>
      </c>
    </row>
    <row r="12" spans="1:13" ht="14.25" customHeight="1" x14ac:dyDescent="0.25">
      <c r="A12" s="16">
        <v>3</v>
      </c>
      <c r="B12" s="17">
        <v>11</v>
      </c>
      <c r="C12" s="17" t="str">
        <f>VLOOKUP(B12,[1]price!$A$10:$W$73,3,FALSE)</f>
        <v>דרום מזרח</v>
      </c>
      <c r="D12" s="17">
        <f>VLOOKUP(B12,[1]price!$A$10:$W$73,4,FALSE)</f>
        <v>4</v>
      </c>
      <c r="E12" s="17">
        <f>VLOOKUP(B12,[1]price!$A$10:$W$73,5,FALSE)</f>
        <v>46</v>
      </c>
      <c r="F12" s="18">
        <f>VLOOKUP(B12,[1]price!$A$10:$W$73,6,FALSE)</f>
        <v>2.5</v>
      </c>
      <c r="G12" s="17">
        <f>VLOOKUP(B12,[1]price!$A$10:$W$73,7,FALSE)</f>
        <v>36</v>
      </c>
      <c r="H12" s="17">
        <f>VLOOKUP(B12,[1]price!$A$10:$W$73,8,FALSE)</f>
        <v>88</v>
      </c>
      <c r="I12" s="17">
        <f>VLOOKUP(B12,[1]price!$A$10:$W$73,9,FALSE)</f>
        <v>15</v>
      </c>
      <c r="J12" s="19">
        <f>VLOOKUP(B12,[1]price!$A$10:$W$73,10,FALSE)</f>
        <v>93</v>
      </c>
      <c r="K12" s="20">
        <f>VLOOKUP(B12,[1]price!$A$10:$W$73,13,FALSE)</f>
        <v>2410000</v>
      </c>
      <c r="L12" s="17" t="str">
        <f>IF(VLOOKUP(B12,[1]price!$A$10:$W$73,23,FALSE) &lt;&gt; "","נמכר","")</f>
        <v>נמכר</v>
      </c>
      <c r="M12" s="21" t="s">
        <v>15</v>
      </c>
    </row>
    <row r="13" spans="1:13" ht="14.25" customHeight="1" x14ac:dyDescent="0.25">
      <c r="A13" s="16">
        <v>3</v>
      </c>
      <c r="B13" s="17">
        <v>12</v>
      </c>
      <c r="C13" s="17" t="str">
        <f>VLOOKUP(B13,[1]price!$A$10:$W$73,3,FALSE)</f>
        <v>דרום מערב</v>
      </c>
      <c r="D13" s="17">
        <f>VLOOKUP(B13,[1]price!$A$10:$W$73,4,FALSE)</f>
        <v>4</v>
      </c>
      <c r="E13" s="17">
        <f>VLOOKUP(B13,[1]price!$A$10:$W$73,5,FALSE)</f>
        <v>45</v>
      </c>
      <c r="F13" s="18">
        <f>VLOOKUP(B13,[1]price!$A$10:$W$73,6,FALSE)</f>
        <v>3.5</v>
      </c>
      <c r="G13" s="17">
        <f>VLOOKUP(B13,[1]price!$A$10:$W$73,7,FALSE)</f>
        <v>64</v>
      </c>
      <c r="H13" s="17">
        <f>VLOOKUP(B13,[1]price!$A$10:$W$73,8,FALSE)</f>
        <v>93</v>
      </c>
      <c r="I13" s="17">
        <f>VLOOKUP(B13,[1]price!$A$10:$W$73,9,FALSE)</f>
        <v>15</v>
      </c>
      <c r="J13" s="19">
        <f>VLOOKUP(B13,[1]price!$A$10:$W$73,10,FALSE)</f>
        <v>98</v>
      </c>
      <c r="K13" s="20">
        <f>VLOOKUP(B13,[1]price!$A$10:$W$73,13,FALSE)</f>
        <v>2672000</v>
      </c>
      <c r="L13" s="17" t="str">
        <f>IF(VLOOKUP(B13,[1]price!$A$10:$W$73,23,FALSE) &lt;&gt; "","נמכר","")</f>
        <v>נמכר</v>
      </c>
      <c r="M13" s="21" t="s">
        <v>16</v>
      </c>
    </row>
    <row r="14" spans="1:13" ht="14.25" customHeight="1" thickBot="1" x14ac:dyDescent="0.3">
      <c r="A14" s="22">
        <v>3</v>
      </c>
      <c r="B14" s="23">
        <v>13</v>
      </c>
      <c r="C14" s="23" t="str">
        <f>VLOOKUP(B14,[1]price!$A$10:$W$73,3,FALSE)</f>
        <v>צפון מערב</v>
      </c>
      <c r="D14" s="23">
        <f>VLOOKUP(B14,[1]price!$A$10:$W$73,4,FALSE)</f>
        <v>3</v>
      </c>
      <c r="E14" s="23">
        <f>VLOOKUP(B14,[1]price!$A$10:$W$73,5,FALSE)</f>
        <v>32</v>
      </c>
      <c r="F14" s="24">
        <f>VLOOKUP(B14,[1]price!$A$10:$W$73,6,FALSE)</f>
        <v>4</v>
      </c>
      <c r="G14" s="23">
        <f>VLOOKUP(B14,[1]price!$A$10:$W$73,7,FALSE)</f>
        <v>24</v>
      </c>
      <c r="H14" s="23">
        <f>VLOOKUP(B14,[1]price!$A$10:$W$73,8,FALSE)</f>
        <v>81</v>
      </c>
      <c r="I14" s="23">
        <f>VLOOKUP(B14,[1]price!$A$10:$W$73,9,FALSE)</f>
        <v>15</v>
      </c>
      <c r="J14" s="25">
        <f>VLOOKUP(B14,[1]price!$A$10:$W$73,10,FALSE)</f>
        <v>86</v>
      </c>
      <c r="K14" s="26">
        <f>VLOOKUP(B14,[1]price!$A$10:$W$73,13,FALSE)</f>
        <v>2384000</v>
      </c>
      <c r="L14" s="23" t="str">
        <f>IF(VLOOKUP(B14,[1]price!$A$10:$W$73,23,FALSE) &lt;&gt; "","נמכר","")</f>
        <v>נמכר</v>
      </c>
      <c r="M14" s="27" t="s">
        <v>17</v>
      </c>
    </row>
    <row r="15" spans="1:13" ht="14.25" customHeight="1" x14ac:dyDescent="0.25">
      <c r="A15" s="10">
        <v>4</v>
      </c>
      <c r="B15" s="11">
        <v>14</v>
      </c>
      <c r="C15" s="11" t="str">
        <f>VLOOKUP(B15,[1]price!$A$10:$W$73,3,FALSE)</f>
        <v>צפון מזרח</v>
      </c>
      <c r="D15" s="11">
        <f>VLOOKUP(B15,[1]price!$A$10:$W$73,4,FALSE)</f>
        <v>3</v>
      </c>
      <c r="E15" s="11">
        <f>VLOOKUP(B15,[1]price!$A$10:$W$73,5,FALSE)</f>
        <v>50</v>
      </c>
      <c r="F15" s="12">
        <f>VLOOKUP(B15,[1]price!$A$10:$W$73,6,FALSE)</f>
        <v>3.5</v>
      </c>
      <c r="G15" s="11">
        <f>VLOOKUP(B15,[1]price!$A$10:$W$73,7,FALSE)</f>
        <v>5</v>
      </c>
      <c r="H15" s="11">
        <f>VLOOKUP(B15,[1]price!$A$10:$W$73,8,FALSE)</f>
        <v>88</v>
      </c>
      <c r="I15" s="11">
        <f>VLOOKUP(B15,[1]price!$A$10:$W$73,9,FALSE)</f>
        <v>15</v>
      </c>
      <c r="J15" s="13">
        <f>VLOOKUP(B15,[1]price!$A$10:$W$73,10,FALSE)</f>
        <v>93</v>
      </c>
      <c r="K15" s="14">
        <f>VLOOKUP(B15,[1]price!$A$10:$W$73,13,FALSE)</f>
        <v>2485000</v>
      </c>
      <c r="L15" s="11" t="str">
        <f>IF(VLOOKUP(B15,[1]price!$A$10:$W$73,23,FALSE) &lt;&gt; "","נמכר","")</f>
        <v/>
      </c>
      <c r="M15" s="15" t="s">
        <v>14</v>
      </c>
    </row>
    <row r="16" spans="1:13" ht="14.25" customHeight="1" x14ac:dyDescent="0.25">
      <c r="A16" s="16">
        <v>4</v>
      </c>
      <c r="B16" s="17">
        <v>15</v>
      </c>
      <c r="C16" s="17" t="str">
        <f>VLOOKUP(B16,[1]price!$A$10:$W$73,3,FALSE)</f>
        <v>דרום מזרח</v>
      </c>
      <c r="D16" s="17">
        <f>VLOOKUP(B16,[1]price!$A$10:$W$73,4,FALSE)</f>
        <v>3</v>
      </c>
      <c r="E16" s="17">
        <f>VLOOKUP(B16,[1]price!$A$10:$W$73,5,FALSE)</f>
        <v>49</v>
      </c>
      <c r="F16" s="18">
        <f>VLOOKUP(B16,[1]price!$A$10:$W$73,6,FALSE)</f>
        <v>2.5</v>
      </c>
      <c r="G16" s="17">
        <f>VLOOKUP(B16,[1]price!$A$10:$W$73,7,FALSE)</f>
        <v>25</v>
      </c>
      <c r="H16" s="17">
        <f>VLOOKUP(B16,[1]price!$A$10:$W$73,8,FALSE)</f>
        <v>88</v>
      </c>
      <c r="I16" s="17">
        <f>VLOOKUP(B16,[1]price!$A$10:$W$73,9,FALSE)</f>
        <v>15</v>
      </c>
      <c r="J16" s="19">
        <f>VLOOKUP(B16,[1]price!$A$10:$W$73,10,FALSE)</f>
        <v>93</v>
      </c>
      <c r="K16" s="20">
        <f>VLOOKUP(B16,[1]price!$A$10:$W$73,13,FALSE)</f>
        <v>2450000</v>
      </c>
      <c r="L16" s="17" t="str">
        <f>IF(VLOOKUP(B16,[1]price!$A$10:$W$73,23,FALSE) &lt;&gt; "","נמכר","")</f>
        <v/>
      </c>
      <c r="M16" s="21" t="s">
        <v>15</v>
      </c>
    </row>
    <row r="17" spans="1:13" ht="14.25" customHeight="1" x14ac:dyDescent="0.25">
      <c r="A17" s="16">
        <v>4</v>
      </c>
      <c r="B17" s="17">
        <v>16</v>
      </c>
      <c r="C17" s="17" t="str">
        <f>VLOOKUP(B17,[1]price!$A$10:$W$73,3,FALSE)</f>
        <v>דרום מערב</v>
      </c>
      <c r="D17" s="17">
        <f>VLOOKUP(B17,[1]price!$A$10:$W$73,4,FALSE)</f>
        <v>4</v>
      </c>
      <c r="E17" s="17">
        <f>VLOOKUP(B17,[1]price!$A$10:$W$73,5,FALSE)</f>
        <v>48</v>
      </c>
      <c r="F17" s="18">
        <f>VLOOKUP(B17,[1]price!$A$10:$W$73,6,FALSE)</f>
        <v>3.5</v>
      </c>
      <c r="G17" s="17">
        <f>VLOOKUP(B17,[1]price!$A$10:$W$73,7,FALSE)</f>
        <v>37</v>
      </c>
      <c r="H17" s="17">
        <f>VLOOKUP(B17,[1]price!$A$10:$W$73,8,FALSE)</f>
        <v>93</v>
      </c>
      <c r="I17" s="17">
        <f>VLOOKUP(B17,[1]price!$A$10:$W$73,9,FALSE)</f>
        <v>15</v>
      </c>
      <c r="J17" s="19">
        <f>VLOOKUP(B17,[1]price!$A$10:$W$73,10,FALSE)</f>
        <v>98</v>
      </c>
      <c r="K17" s="20">
        <f>VLOOKUP(B17,[1]price!$A$10:$W$73,13,FALSE)</f>
        <v>2712000</v>
      </c>
      <c r="L17" s="17" t="str">
        <f>IF(VLOOKUP(B17,[1]price!$A$10:$W$73,23,FALSE) &lt;&gt; "","נמכר","")</f>
        <v>נמכר</v>
      </c>
      <c r="M17" s="21" t="s">
        <v>16</v>
      </c>
    </row>
    <row r="18" spans="1:13" ht="14.25" customHeight="1" thickBot="1" x14ac:dyDescent="0.3">
      <c r="A18" s="22">
        <v>4</v>
      </c>
      <c r="B18" s="23">
        <v>17</v>
      </c>
      <c r="C18" s="23" t="str">
        <f>VLOOKUP(B18,[1]price!$A$10:$W$73,3,FALSE)</f>
        <v>צפון מערב</v>
      </c>
      <c r="D18" s="23">
        <f>VLOOKUP(B18,[1]price!$A$10:$W$73,4,FALSE)</f>
        <v>3</v>
      </c>
      <c r="E18" s="23">
        <f>VLOOKUP(B18,[1]price!$A$10:$W$73,5,FALSE)</f>
        <v>31</v>
      </c>
      <c r="F18" s="24">
        <f>VLOOKUP(B18,[1]price!$A$10:$W$73,6,FALSE)</f>
        <v>5</v>
      </c>
      <c r="G18" s="23">
        <f>VLOOKUP(B18,[1]price!$A$10:$W$73,7,FALSE)</f>
        <v>11</v>
      </c>
      <c r="H18" s="23">
        <f>VLOOKUP(B18,[1]price!$A$10:$W$73,8,FALSE)</f>
        <v>81</v>
      </c>
      <c r="I18" s="23">
        <f>VLOOKUP(B18,[1]price!$A$10:$W$73,9,FALSE)</f>
        <v>15</v>
      </c>
      <c r="J18" s="25">
        <f>VLOOKUP(B18,[1]price!$A$10:$W$73,10,FALSE)</f>
        <v>86</v>
      </c>
      <c r="K18" s="26">
        <f>VLOOKUP(B18,[1]price!$A$10:$W$73,13,FALSE)</f>
        <v>2424000</v>
      </c>
      <c r="L18" s="23" t="str">
        <f>IF(VLOOKUP(B18,[1]price!$A$10:$W$73,23,FALSE) &lt;&gt; "","נמכר","")</f>
        <v>נמכר</v>
      </c>
      <c r="M18" s="27" t="s">
        <v>17</v>
      </c>
    </row>
    <row r="19" spans="1:13" ht="14.25" customHeight="1" x14ac:dyDescent="0.25">
      <c r="A19" s="10">
        <v>5</v>
      </c>
      <c r="B19" s="11">
        <v>18</v>
      </c>
      <c r="C19" s="11" t="str">
        <f>VLOOKUP(B19,[1]price!$A$10:$W$73,3,FALSE)</f>
        <v>צפון מזרח</v>
      </c>
      <c r="D19" s="11">
        <f>VLOOKUP(B19,[1]price!$A$10:$W$73,4,FALSE)</f>
        <v>3</v>
      </c>
      <c r="E19" s="11">
        <f>VLOOKUP(B19,[1]price!$A$10:$W$73,5,FALSE)</f>
        <v>53</v>
      </c>
      <c r="F19" s="12">
        <f>VLOOKUP(B19,[1]price!$A$10:$W$73,6,FALSE)</f>
        <v>3.5</v>
      </c>
      <c r="G19" s="11">
        <f>VLOOKUP(B19,[1]price!$A$10:$W$73,7,FALSE)</f>
        <v>12</v>
      </c>
      <c r="H19" s="11">
        <f>VLOOKUP(B19,[1]price!$A$10:$W$73,8,FALSE)</f>
        <v>88</v>
      </c>
      <c r="I19" s="11">
        <f>VLOOKUP(B19,[1]price!$A$10:$W$73,9,FALSE)</f>
        <v>15</v>
      </c>
      <c r="J19" s="13">
        <f>VLOOKUP(B19,[1]price!$A$10:$W$73,10,FALSE)</f>
        <v>93</v>
      </c>
      <c r="K19" s="14">
        <f>VLOOKUP(B19,[1]price!$A$10:$W$73,13,FALSE)</f>
        <v>2525000</v>
      </c>
      <c r="L19" s="11" t="str">
        <f>IF(VLOOKUP(B19,[1]price!$A$10:$W$73,23,FALSE) &lt;&gt; "","נמכר","")</f>
        <v/>
      </c>
      <c r="M19" s="15" t="s">
        <v>14</v>
      </c>
    </row>
    <row r="20" spans="1:13" ht="14.25" customHeight="1" x14ac:dyDescent="0.25">
      <c r="A20" s="16">
        <v>5</v>
      </c>
      <c r="B20" s="17">
        <v>19</v>
      </c>
      <c r="C20" s="17" t="str">
        <f>VLOOKUP(B20,[1]price!$A$10:$W$73,3,FALSE)</f>
        <v>דרום מזרח</v>
      </c>
      <c r="D20" s="17">
        <f>VLOOKUP(B20,[1]price!$A$10:$W$73,4,FALSE)</f>
        <v>3</v>
      </c>
      <c r="E20" s="17">
        <f>VLOOKUP(B20,[1]price!$A$10:$W$73,5,FALSE)</f>
        <v>52</v>
      </c>
      <c r="F20" s="18">
        <f>VLOOKUP(B20,[1]price!$A$10:$W$73,6,FALSE)</f>
        <v>2.5</v>
      </c>
      <c r="G20" s="17">
        <f>VLOOKUP(B20,[1]price!$A$10:$W$73,7,FALSE)</f>
        <v>22</v>
      </c>
      <c r="H20" s="17">
        <f>VLOOKUP(B20,[1]price!$A$10:$W$73,8,FALSE)</f>
        <v>88</v>
      </c>
      <c r="I20" s="17">
        <f>VLOOKUP(B20,[1]price!$A$10:$W$73,9,FALSE)</f>
        <v>15</v>
      </c>
      <c r="J20" s="19">
        <f>VLOOKUP(B20,[1]price!$A$10:$W$73,10,FALSE)</f>
        <v>93</v>
      </c>
      <c r="K20" s="20">
        <f>VLOOKUP(B20,[1]price!$A$10:$W$73,13,FALSE)</f>
        <v>2490000</v>
      </c>
      <c r="L20" s="17" t="str">
        <f>IF(VLOOKUP(B20,[1]price!$A$10:$W$73,23,FALSE) &lt;&gt; "","נמכר","")</f>
        <v/>
      </c>
      <c r="M20" s="21" t="s">
        <v>15</v>
      </c>
    </row>
    <row r="21" spans="1:13" ht="14.25" customHeight="1" x14ac:dyDescent="0.25">
      <c r="A21" s="16">
        <v>5</v>
      </c>
      <c r="B21" s="17">
        <v>20</v>
      </c>
      <c r="C21" s="17" t="str">
        <f>VLOOKUP(B21,[1]price!$A$10:$W$73,3,FALSE)</f>
        <v>דרום מערב</v>
      </c>
      <c r="D21" s="17">
        <f>VLOOKUP(B21,[1]price!$A$10:$W$73,4,FALSE)</f>
        <v>4</v>
      </c>
      <c r="E21" s="17">
        <f>VLOOKUP(B21,[1]price!$A$10:$W$73,5,FALSE)</f>
        <v>51</v>
      </c>
      <c r="F21" s="18">
        <f>VLOOKUP(B21,[1]price!$A$10:$W$73,6,FALSE)</f>
        <v>3.5</v>
      </c>
      <c r="G21" s="17">
        <f>VLOOKUP(B21,[1]price!$A$10:$W$73,7,FALSE)</f>
        <v>6</v>
      </c>
      <c r="H21" s="17">
        <f>VLOOKUP(B21,[1]price!$A$10:$W$73,8,FALSE)</f>
        <v>93</v>
      </c>
      <c r="I21" s="17">
        <f>VLOOKUP(B21,[1]price!$A$10:$W$73,9,FALSE)</f>
        <v>15</v>
      </c>
      <c r="J21" s="19">
        <f>VLOOKUP(B21,[1]price!$A$10:$W$73,10,FALSE)</f>
        <v>98</v>
      </c>
      <c r="K21" s="20">
        <f>VLOOKUP(B21,[1]price!$A$10:$W$73,13,FALSE)</f>
        <v>2752000</v>
      </c>
      <c r="L21" s="17" t="str">
        <f>IF(VLOOKUP(B21,[1]price!$A$10:$W$73,23,FALSE) &lt;&gt; "","נמכר","")</f>
        <v>נמכר</v>
      </c>
      <c r="M21" s="21" t="s">
        <v>16</v>
      </c>
    </row>
    <row r="22" spans="1:13" ht="14.25" customHeight="1" thickBot="1" x14ac:dyDescent="0.3">
      <c r="A22" s="22">
        <v>5</v>
      </c>
      <c r="B22" s="23">
        <v>21</v>
      </c>
      <c r="C22" s="23" t="str">
        <f>VLOOKUP(B22,[1]price!$A$10:$W$73,3,FALSE)</f>
        <v>צפון מערב</v>
      </c>
      <c r="D22" s="23">
        <f>VLOOKUP(B22,[1]price!$A$10:$W$73,4,FALSE)</f>
        <v>3</v>
      </c>
      <c r="E22" s="23">
        <f>VLOOKUP(B22,[1]price!$A$10:$W$73,5,FALSE)</f>
        <v>7</v>
      </c>
      <c r="F22" s="24">
        <f>VLOOKUP(B22,[1]price!$A$10:$W$73,6,FALSE)</f>
        <v>4</v>
      </c>
      <c r="G22" s="23">
        <f>VLOOKUP(B22,[1]price!$A$10:$W$73,7,FALSE)</f>
        <v>29</v>
      </c>
      <c r="H22" s="23">
        <f>VLOOKUP(B22,[1]price!$A$10:$W$73,8,FALSE)</f>
        <v>81</v>
      </c>
      <c r="I22" s="23">
        <f>VLOOKUP(B22,[1]price!$A$10:$W$73,9,FALSE)</f>
        <v>15</v>
      </c>
      <c r="J22" s="25">
        <f>VLOOKUP(B22,[1]price!$A$10:$W$73,10,FALSE)</f>
        <v>86</v>
      </c>
      <c r="K22" s="26">
        <f>VLOOKUP(B22,[1]price!$A$10:$W$73,13,FALSE)</f>
        <v>2464000</v>
      </c>
      <c r="L22" s="23" t="str">
        <f>IF(VLOOKUP(B22,[1]price!$A$10:$W$73,23,FALSE) &lt;&gt; "","נמכר","")</f>
        <v>נמכר</v>
      </c>
      <c r="M22" s="27" t="s">
        <v>17</v>
      </c>
    </row>
    <row r="23" spans="1:13" ht="14.25" customHeight="1" x14ac:dyDescent="0.25">
      <c r="A23" s="10">
        <v>6</v>
      </c>
      <c r="B23" s="11">
        <v>22</v>
      </c>
      <c r="C23" s="11" t="str">
        <f>VLOOKUP(B23,[1]price!$A$10:$W$73,3,FALSE)</f>
        <v>צפון מזרח</v>
      </c>
      <c r="D23" s="11">
        <f>VLOOKUP(B23,[1]price!$A$10:$W$73,4,FALSE)</f>
        <v>3</v>
      </c>
      <c r="E23" s="11">
        <f>VLOOKUP(B23,[1]price!$A$10:$W$73,5,FALSE)</f>
        <v>56</v>
      </c>
      <c r="F23" s="12">
        <f>VLOOKUP(B23,[1]price!$A$10:$W$73,6,FALSE)</f>
        <v>3.5</v>
      </c>
      <c r="G23" s="11">
        <f>VLOOKUP(B23,[1]price!$A$10:$W$73,7,FALSE)</f>
        <v>38</v>
      </c>
      <c r="H23" s="11">
        <f>VLOOKUP(B23,[1]price!$A$10:$W$73,8,FALSE)</f>
        <v>88</v>
      </c>
      <c r="I23" s="11">
        <f>VLOOKUP(B23,[1]price!$A$10:$W$73,9,FALSE)</f>
        <v>15</v>
      </c>
      <c r="J23" s="13">
        <f>VLOOKUP(B23,[1]price!$A$10:$W$73,10,FALSE)</f>
        <v>93</v>
      </c>
      <c r="K23" s="14">
        <f>VLOOKUP(B23,[1]price!$A$10:$W$73,13,FALSE)</f>
        <v>2565000</v>
      </c>
      <c r="L23" s="11" t="str">
        <f>IF(VLOOKUP(B23,[1]price!$A$10:$W$73,23,FALSE) &lt;&gt; "","נמכר","")</f>
        <v/>
      </c>
      <c r="M23" s="15" t="s">
        <v>14</v>
      </c>
    </row>
    <row r="24" spans="1:13" ht="14.25" customHeight="1" x14ac:dyDescent="0.25">
      <c r="A24" s="16">
        <v>6</v>
      </c>
      <c r="B24" s="17">
        <v>23</v>
      </c>
      <c r="C24" s="17" t="str">
        <f>VLOOKUP(B24,[1]price!$A$10:$W$73,3,FALSE)</f>
        <v>דרום מזרח</v>
      </c>
      <c r="D24" s="17">
        <f>VLOOKUP(B24,[1]price!$A$10:$W$73,4,FALSE)</f>
        <v>3</v>
      </c>
      <c r="E24" s="17">
        <f>VLOOKUP(B24,[1]price!$A$10:$W$73,5,FALSE)</f>
        <v>55</v>
      </c>
      <c r="F24" s="18">
        <f>VLOOKUP(B24,[1]price!$A$10:$W$73,6,FALSE)</f>
        <v>2.5</v>
      </c>
      <c r="G24" s="17">
        <f>VLOOKUP(B24,[1]price!$A$10:$W$73,7,FALSE)</f>
        <v>16</v>
      </c>
      <c r="H24" s="17">
        <f>VLOOKUP(B24,[1]price!$A$10:$W$73,8,FALSE)</f>
        <v>88</v>
      </c>
      <c r="I24" s="17">
        <f>VLOOKUP(B24,[1]price!$A$10:$W$73,9,FALSE)</f>
        <v>15</v>
      </c>
      <c r="J24" s="19">
        <f>VLOOKUP(B24,[1]price!$A$10:$W$73,10,FALSE)</f>
        <v>93</v>
      </c>
      <c r="K24" s="20">
        <f>VLOOKUP(B24,[1]price!$A$10:$W$73,13,FALSE)</f>
        <v>2530000</v>
      </c>
      <c r="L24" s="17" t="str">
        <f>IF(VLOOKUP(B24,[1]price!$A$10:$W$73,23,FALSE) &lt;&gt; "","נמכר","")</f>
        <v/>
      </c>
      <c r="M24" s="21" t="s">
        <v>15</v>
      </c>
    </row>
    <row r="25" spans="1:13" ht="14.25" customHeight="1" x14ac:dyDescent="0.25">
      <c r="A25" s="16">
        <v>6</v>
      </c>
      <c r="B25" s="17">
        <v>24</v>
      </c>
      <c r="C25" s="17" t="str">
        <f>VLOOKUP(B25,[1]price!$A$10:$W$73,3,FALSE)</f>
        <v>דרום מערב</v>
      </c>
      <c r="D25" s="17">
        <f>VLOOKUP(B25,[1]price!$A$10:$W$73,4,FALSE)</f>
        <v>4</v>
      </c>
      <c r="E25" s="17">
        <f>VLOOKUP(B25,[1]price!$A$10:$W$73,5,FALSE)</f>
        <v>54</v>
      </c>
      <c r="F25" s="18">
        <f>VLOOKUP(B25,[1]price!$A$10:$W$73,6,FALSE)</f>
        <v>3.5</v>
      </c>
      <c r="G25" s="17">
        <f>VLOOKUP(B25,[1]price!$A$10:$W$73,7,FALSE)</f>
        <v>14</v>
      </c>
      <c r="H25" s="17">
        <f>VLOOKUP(B25,[1]price!$A$10:$W$73,8,FALSE)</f>
        <v>93</v>
      </c>
      <c r="I25" s="17">
        <f>VLOOKUP(B25,[1]price!$A$10:$W$73,9,FALSE)</f>
        <v>15</v>
      </c>
      <c r="J25" s="19">
        <f>VLOOKUP(B25,[1]price!$A$10:$W$73,10,FALSE)</f>
        <v>98</v>
      </c>
      <c r="K25" s="20">
        <f>VLOOKUP(B25,[1]price!$A$10:$W$73,13,FALSE)</f>
        <v>2792000</v>
      </c>
      <c r="L25" s="17" t="str">
        <f>IF(VLOOKUP(B25,[1]price!$A$10:$W$73,23,FALSE) &lt;&gt; "","נמכר","")</f>
        <v/>
      </c>
      <c r="M25" s="21" t="s">
        <v>16</v>
      </c>
    </row>
    <row r="26" spans="1:13" ht="14.25" customHeight="1" thickBot="1" x14ac:dyDescent="0.3">
      <c r="A26" s="22">
        <v>6</v>
      </c>
      <c r="B26" s="23">
        <v>25</v>
      </c>
      <c r="C26" s="23" t="str">
        <f>VLOOKUP(B26,[1]price!$A$10:$W$73,3,FALSE)</f>
        <v>צפון מערב</v>
      </c>
      <c r="D26" s="23">
        <f>VLOOKUP(B26,[1]price!$A$10:$W$73,4,FALSE)</f>
        <v>3</v>
      </c>
      <c r="E26" s="23">
        <f>VLOOKUP(B26,[1]price!$A$10:$W$73,5,FALSE)</f>
        <v>25</v>
      </c>
      <c r="F26" s="24">
        <f>VLOOKUP(B26,[1]price!$A$10:$W$73,6,FALSE)</f>
        <v>6</v>
      </c>
      <c r="G26" s="23">
        <f>VLOOKUP(B26,[1]price!$A$10:$W$73,7,FALSE)</f>
        <v>13</v>
      </c>
      <c r="H26" s="23">
        <f>VLOOKUP(B26,[1]price!$A$10:$W$73,8,FALSE)</f>
        <v>81</v>
      </c>
      <c r="I26" s="23">
        <f>VLOOKUP(B26,[1]price!$A$10:$W$73,9,FALSE)</f>
        <v>15</v>
      </c>
      <c r="J26" s="25">
        <f>VLOOKUP(B26,[1]price!$A$10:$W$73,10,FALSE)</f>
        <v>86</v>
      </c>
      <c r="K26" s="26">
        <f>VLOOKUP(B26,[1]price!$A$10:$W$73,13,FALSE)</f>
        <v>2504000</v>
      </c>
      <c r="L26" s="23" t="str">
        <f>IF(VLOOKUP(B26,[1]price!$A$10:$W$73,23,FALSE) &lt;&gt; "","נמכר","")</f>
        <v/>
      </c>
      <c r="M26" s="27" t="s">
        <v>17</v>
      </c>
    </row>
    <row r="27" spans="1:13" ht="14.25" customHeight="1" x14ac:dyDescent="0.25">
      <c r="A27" s="10">
        <v>7</v>
      </c>
      <c r="B27" s="11">
        <v>26</v>
      </c>
      <c r="C27" s="11" t="str">
        <f>VLOOKUP(B27,[1]price!$A$10:$W$73,3,FALSE)</f>
        <v>צפון מזרח</v>
      </c>
      <c r="D27" s="11">
        <f>VLOOKUP(B27,[1]price!$A$10:$W$73,4,FALSE)</f>
        <v>3</v>
      </c>
      <c r="E27" s="11">
        <f>VLOOKUP(B27,[1]price!$A$10:$W$73,5,FALSE)</f>
        <v>59</v>
      </c>
      <c r="F27" s="12">
        <f>VLOOKUP(B27,[1]price!$A$10:$W$73,6,FALSE)</f>
        <v>3.5</v>
      </c>
      <c r="G27" s="11">
        <f>VLOOKUP(B27,[1]price!$A$10:$W$73,7,FALSE)</f>
        <v>9</v>
      </c>
      <c r="H27" s="11">
        <f>VLOOKUP(B27,[1]price!$A$10:$W$73,8,FALSE)</f>
        <v>88</v>
      </c>
      <c r="I27" s="11">
        <f>VLOOKUP(B27,[1]price!$A$10:$W$73,9,FALSE)</f>
        <v>15</v>
      </c>
      <c r="J27" s="13">
        <f>VLOOKUP(B27,[1]price!$A$10:$W$73,10,FALSE)</f>
        <v>93</v>
      </c>
      <c r="K27" s="14">
        <f>VLOOKUP(B27,[1]price!$A$10:$W$73,13,FALSE)</f>
        <v>2605000</v>
      </c>
      <c r="L27" s="11" t="str">
        <f>IF(VLOOKUP(B27,[1]price!$A$10:$W$73,23,FALSE) &lt;&gt; "","נמכר","")</f>
        <v/>
      </c>
      <c r="M27" s="15" t="s">
        <v>14</v>
      </c>
    </row>
    <row r="28" spans="1:13" ht="14.25" customHeight="1" x14ac:dyDescent="0.25">
      <c r="A28" s="16">
        <v>7</v>
      </c>
      <c r="B28" s="17">
        <v>27</v>
      </c>
      <c r="C28" s="17" t="str">
        <f>VLOOKUP(B28,[1]price!$A$10:$W$73,3,FALSE)</f>
        <v>דרום מזרח</v>
      </c>
      <c r="D28" s="17">
        <f>VLOOKUP(B28,[1]price!$A$10:$W$73,4,FALSE)</f>
        <v>3</v>
      </c>
      <c r="E28" s="17">
        <f>VLOOKUP(B28,[1]price!$A$10:$W$73,5,FALSE)</f>
        <v>58</v>
      </c>
      <c r="F28" s="18">
        <f>VLOOKUP(B28,[1]price!$A$10:$W$73,6,FALSE)</f>
        <v>2.5</v>
      </c>
      <c r="G28" s="17">
        <f>VLOOKUP(B28,[1]price!$A$10:$W$73,7,FALSE)</f>
        <v>23</v>
      </c>
      <c r="H28" s="17">
        <f>VLOOKUP(B28,[1]price!$A$10:$W$73,8,FALSE)</f>
        <v>88</v>
      </c>
      <c r="I28" s="17">
        <f>VLOOKUP(B28,[1]price!$A$10:$W$73,9,FALSE)</f>
        <v>15</v>
      </c>
      <c r="J28" s="19">
        <f>VLOOKUP(B28,[1]price!$A$10:$W$73,10,FALSE)</f>
        <v>93</v>
      </c>
      <c r="K28" s="20">
        <f>VLOOKUP(B28,[1]price!$A$10:$W$73,13,FALSE)</f>
        <v>2570000</v>
      </c>
      <c r="L28" s="17" t="str">
        <f>IF(VLOOKUP(B28,[1]price!$A$10:$W$73,23,FALSE) &lt;&gt; "","נמכר","")</f>
        <v/>
      </c>
      <c r="M28" s="21" t="s">
        <v>15</v>
      </c>
    </row>
    <row r="29" spans="1:13" ht="14.25" customHeight="1" x14ac:dyDescent="0.25">
      <c r="A29" s="16">
        <v>7</v>
      </c>
      <c r="B29" s="17">
        <v>28</v>
      </c>
      <c r="C29" s="17" t="str">
        <f>VLOOKUP(B29,[1]price!$A$10:$W$73,3,FALSE)</f>
        <v>דרום מערב</v>
      </c>
      <c r="D29" s="17">
        <f>VLOOKUP(B29,[1]price!$A$10:$W$73,4,FALSE)</f>
        <v>4</v>
      </c>
      <c r="E29" s="17">
        <f>VLOOKUP(B29,[1]price!$A$10:$W$73,5,FALSE)</f>
        <v>57</v>
      </c>
      <c r="F29" s="18">
        <f>VLOOKUP(B29,[1]price!$A$10:$W$73,6,FALSE)</f>
        <v>3.5</v>
      </c>
      <c r="G29" s="17">
        <f>VLOOKUP(B29,[1]price!$A$10:$W$73,7,FALSE)</f>
        <v>10</v>
      </c>
      <c r="H29" s="17">
        <f>VLOOKUP(B29,[1]price!$A$10:$W$73,8,FALSE)</f>
        <v>95</v>
      </c>
      <c r="I29" s="17">
        <f>VLOOKUP(B29,[1]price!$A$10:$W$73,9,FALSE)</f>
        <v>15</v>
      </c>
      <c r="J29" s="19">
        <f>VLOOKUP(B29,[1]price!$A$10:$W$73,10,FALSE)</f>
        <v>100</v>
      </c>
      <c r="K29" s="20">
        <f>VLOOKUP(B29,[1]price!$A$10:$W$73,13,FALSE)</f>
        <v>2880000</v>
      </c>
      <c r="L29" s="17" t="str">
        <f>IF(VLOOKUP(B29,[1]price!$A$10:$W$73,23,FALSE) &lt;&gt; "","נמכר","")</f>
        <v>נמכר</v>
      </c>
      <c r="M29" s="21" t="s">
        <v>16</v>
      </c>
    </row>
    <row r="30" spans="1:13" ht="14.25" customHeight="1" thickBot="1" x14ac:dyDescent="0.3">
      <c r="A30" s="22">
        <v>7</v>
      </c>
      <c r="B30" s="23">
        <v>29</v>
      </c>
      <c r="C30" s="23" t="str">
        <f>VLOOKUP(B30,[1]price!$A$10:$W$73,3,FALSE)</f>
        <v>צפון מערב</v>
      </c>
      <c r="D30" s="23">
        <f>VLOOKUP(B30,[1]price!$A$10:$W$73,4,FALSE)</f>
        <v>3</v>
      </c>
      <c r="E30" s="23">
        <f>VLOOKUP(B30,[1]price!$A$10:$W$73,5,FALSE)</f>
        <v>10</v>
      </c>
      <c r="F30" s="24">
        <f>VLOOKUP(B30,[1]price!$A$10:$W$73,6,FALSE)</f>
        <v>6.5</v>
      </c>
      <c r="G30" s="23">
        <f>VLOOKUP(B30,[1]price!$A$10:$W$73,7,FALSE)</f>
        <v>1</v>
      </c>
      <c r="H30" s="23">
        <f>VLOOKUP(B30,[1]price!$A$10:$W$73,8,FALSE)</f>
        <v>83</v>
      </c>
      <c r="I30" s="23">
        <f>VLOOKUP(B30,[1]price!$A$10:$W$73,9,FALSE)</f>
        <v>15</v>
      </c>
      <c r="J30" s="25">
        <f>VLOOKUP(B30,[1]price!$A$10:$W$73,10,FALSE)</f>
        <v>88</v>
      </c>
      <c r="K30" s="26">
        <f>VLOOKUP(B30,[1]price!$A$10:$W$73,13,FALSE)</f>
        <v>2592000</v>
      </c>
      <c r="L30" s="23" t="str">
        <f>IF(VLOOKUP(B30,[1]price!$A$10:$W$73,23,FALSE) &lt;&gt; "","נמכר","")</f>
        <v/>
      </c>
      <c r="M30" s="27" t="s">
        <v>17</v>
      </c>
    </row>
    <row r="31" spans="1:13" ht="14.25" customHeight="1" x14ac:dyDescent="0.25">
      <c r="A31" s="16">
        <v>8</v>
      </c>
      <c r="B31" s="17">
        <v>30</v>
      </c>
      <c r="C31" s="17" t="str">
        <f>VLOOKUP(B31,[1]price!$A$10:$W$73,3,FALSE)</f>
        <v>צפון דרום מזרח</v>
      </c>
      <c r="D31" s="17">
        <f>VLOOKUP(B31,[1]price!$A$10:$W$73,4,FALSE)</f>
        <v>5</v>
      </c>
      <c r="E31" s="17">
        <f>VLOOKUP(B31,[1]price!$A$10:$W$73,5,FALSE)</f>
        <v>61</v>
      </c>
      <c r="F31" s="18">
        <f>VLOOKUP(B31,[1]price!$A$10:$W$73,6,FALSE)</f>
        <v>8</v>
      </c>
      <c r="G31" s="17">
        <f>VLOOKUP(B31,[1]price!$A$10:$W$73,7,FALSE)</f>
        <v>20</v>
      </c>
      <c r="H31" s="17">
        <f>VLOOKUP(B31,[1]price!$A$10:$W$73,8,FALSE)</f>
        <v>120</v>
      </c>
      <c r="I31" s="17">
        <f>VLOOKUP(B31,[1]price!$A$10:$W$73,9,FALSE)</f>
        <v>55</v>
      </c>
      <c r="J31" s="19">
        <f>VLOOKUP(B31,[1]price!$A$10:$W$73,10,FALSE)</f>
        <v>139</v>
      </c>
      <c r="K31" s="20">
        <f>VLOOKUP(B31,[1]price!$A$10:$W$73,13,FALSE)</f>
        <v>4200000</v>
      </c>
      <c r="L31" s="17" t="str">
        <f>IF(VLOOKUP(B31,[1]price!$A$10:$W$73,23,FALSE) &lt;&gt; "","נמכר","")</f>
        <v/>
      </c>
      <c r="M31" s="21" t="s">
        <v>18</v>
      </c>
    </row>
    <row r="32" spans="1:13" ht="14.25" customHeight="1" thickBot="1" x14ac:dyDescent="0.3">
      <c r="A32" s="28">
        <v>8</v>
      </c>
      <c r="B32" s="29">
        <v>31</v>
      </c>
      <c r="C32" s="29" t="str">
        <f>VLOOKUP(B32,[1]price!$A$10:$W$73,3,FALSE)</f>
        <v>צפון דרום מערב</v>
      </c>
      <c r="D32" s="29">
        <f>VLOOKUP(B32,[1]price!$A$10:$W$73,4,FALSE)</f>
        <v>5</v>
      </c>
      <c r="E32" s="29">
        <f>VLOOKUP(B32,[1]price!$A$10:$W$73,5,FALSE)</f>
        <v>24</v>
      </c>
      <c r="F32" s="30">
        <f>VLOOKUP(B32,[1]price!$A$10:$W$73,6,FALSE)</f>
        <v>7.5</v>
      </c>
      <c r="G32" s="29">
        <f>VLOOKUP(B32,[1]price!$A$10:$W$73,7,FALSE)</f>
        <v>19</v>
      </c>
      <c r="H32" s="29">
        <f>VLOOKUP(B32,[1]price!$A$10:$W$73,8,FALSE)</f>
        <v>142</v>
      </c>
      <c r="I32" s="29">
        <f>VLOOKUP(B32,[1]price!$A$10:$W$73,9,FALSE)</f>
        <v>75</v>
      </c>
      <c r="J32" s="31">
        <f>VLOOKUP(B32,[1]price!$A$10:$W$73,10,FALSE)</f>
        <v>167</v>
      </c>
      <c r="K32" s="32">
        <f>VLOOKUP(B32,[1]price!$A$10:$W$73,13,FALSE)</f>
        <v>4500000</v>
      </c>
      <c r="L32" s="29" t="str">
        <f>IF(VLOOKUP(B32,[1]price!$A$10:$W$73,23,FALSE) &lt;&gt; "","נמכר","")</f>
        <v/>
      </c>
      <c r="M32" s="33" t="s">
        <v>19</v>
      </c>
    </row>
    <row r="33" spans="1:13" ht="14.25" customHeight="1" x14ac:dyDescent="0.25">
      <c r="A33" s="10">
        <v>0</v>
      </c>
      <c r="B33" s="11">
        <v>32</v>
      </c>
      <c r="C33" s="11" t="str">
        <f>VLOOKUP(B33,[1]price!$A$10:$W$73,3,FALSE)</f>
        <v>צפון מזרח</v>
      </c>
      <c r="D33" s="11">
        <f>VLOOKUP(B33,[1]price!$A$10:$W$73,4,FALSE)</f>
        <v>4</v>
      </c>
      <c r="E33" s="11">
        <f>VLOOKUP(B33,[1]price!$A$10:$W$73,5,FALSE)</f>
        <v>38</v>
      </c>
      <c r="F33" s="12">
        <f>VLOOKUP(B33,[1]price!$A$10:$W$73,6,FALSE)</f>
        <v>5.5</v>
      </c>
      <c r="G33" s="11">
        <f>VLOOKUP(B33,[1]price!$A$10:$W$73,7,FALSE)</f>
        <v>46</v>
      </c>
      <c r="H33" s="11">
        <f>VLOOKUP(B33,[1]price!$A$10:$W$73,8,FALSE)</f>
        <v>91</v>
      </c>
      <c r="I33" s="11">
        <f>VLOOKUP(B33,[1]price!$A$10:$W$73,9,FALSE)</f>
        <v>141</v>
      </c>
      <c r="J33" s="13">
        <f>VLOOKUP(B33,[1]price!$A$10:$W$73,10,FALSE)</f>
        <v>138</v>
      </c>
      <c r="K33" s="14">
        <f>VLOOKUP(B33,[1]price!$A$10:$W$73,13,FALSE)</f>
        <v>4000000</v>
      </c>
      <c r="L33" s="11" t="str">
        <f>IF(VLOOKUP(B33,[1]price!$A$10:$W$73,23,FALSE) &lt;&gt; "","נמכר","")</f>
        <v/>
      </c>
      <c r="M33" s="15" t="s">
        <v>20</v>
      </c>
    </row>
    <row r="34" spans="1:13" ht="14.25" customHeight="1" thickBot="1" x14ac:dyDescent="0.3">
      <c r="A34" s="22">
        <v>0</v>
      </c>
      <c r="B34" s="23">
        <v>33</v>
      </c>
      <c r="C34" s="23" t="str">
        <f>VLOOKUP(B34,[1]price!$A$10:$W$73,3,FALSE)</f>
        <v>דרום מזרח</v>
      </c>
      <c r="D34" s="23">
        <f>VLOOKUP(B34,[1]price!$A$10:$W$73,4,FALSE)</f>
        <v>3</v>
      </c>
      <c r="E34" s="23">
        <f>VLOOKUP(B34,[1]price!$A$10:$W$73,5,FALSE)</f>
        <v>37</v>
      </c>
      <c r="F34" s="24">
        <f>VLOOKUP(B34,[1]price!$A$10:$W$73,6,FALSE)</f>
        <v>6</v>
      </c>
      <c r="G34" s="23">
        <f>VLOOKUP(B34,[1]price!$A$10:$W$73,7,FALSE)</f>
        <v>30</v>
      </c>
      <c r="H34" s="23">
        <f>VLOOKUP(B34,[1]price!$A$10:$W$73,8,FALSE)</f>
        <v>85</v>
      </c>
      <c r="I34" s="23">
        <f>VLOOKUP(B34,[1]price!$A$10:$W$73,9,FALSE)</f>
        <v>187</v>
      </c>
      <c r="J34" s="25">
        <f>VLOOKUP(B34,[1]price!$A$10:$W$73,10,FALSE)</f>
        <v>148</v>
      </c>
      <c r="K34" s="26">
        <f>VLOOKUP(B34,[1]price!$A$10:$W$73,13,FALSE)</f>
        <v>3900000</v>
      </c>
      <c r="L34" s="23" t="str">
        <f>IF(VLOOKUP(B34,[1]price!$A$10:$W$73,23,FALSE) &lt;&gt; "","נמכר","")</f>
        <v/>
      </c>
      <c r="M34" s="27" t="s">
        <v>21</v>
      </c>
    </row>
    <row r="35" spans="1:13" ht="14.25" customHeight="1" x14ac:dyDescent="0.25">
      <c r="A35" s="10">
        <v>1</v>
      </c>
      <c r="B35" s="11">
        <v>34</v>
      </c>
      <c r="C35" s="11" t="str">
        <f>VLOOKUP(B35,[1]price!$A$10:$W$73,3,FALSE)</f>
        <v>צפון מזרח</v>
      </c>
      <c r="D35" s="11">
        <f>VLOOKUP(B35,[1]price!$A$10:$W$73,4,FALSE)</f>
        <v>4</v>
      </c>
      <c r="E35" s="11">
        <f>VLOOKUP(B35,[1]price!$A$10:$W$73,5,FALSE)</f>
        <v>15</v>
      </c>
      <c r="F35" s="12">
        <f>VLOOKUP(B35,[1]price!$A$10:$W$73,6,FALSE)</f>
        <v>4</v>
      </c>
      <c r="G35" s="11">
        <f>VLOOKUP(B35,[1]price!$A$10:$W$73,7,FALSE)</f>
        <v>18</v>
      </c>
      <c r="H35" s="11">
        <f>VLOOKUP(B35,[1]price!$A$10:$W$73,8,FALSE)</f>
        <v>91</v>
      </c>
      <c r="I35" s="11">
        <f>VLOOKUP(B35,[1]price!$A$10:$W$73,9,FALSE)</f>
        <v>15</v>
      </c>
      <c r="J35" s="13">
        <f>VLOOKUP(B35,[1]price!$A$10:$W$73,10,FALSE)</f>
        <v>96</v>
      </c>
      <c r="K35" s="14">
        <f>VLOOKUP(B35,[1]price!$A$10:$W$73,13,FALSE)</f>
        <v>2544000</v>
      </c>
      <c r="L35" s="11" t="str">
        <f>IF(VLOOKUP(B35,[1]price!$A$10:$W$73,23,FALSE) &lt;&gt; "","נמכר","")</f>
        <v>נמכר</v>
      </c>
      <c r="M35" s="15" t="s">
        <v>22</v>
      </c>
    </row>
    <row r="36" spans="1:13" ht="14.25" customHeight="1" x14ac:dyDescent="0.25">
      <c r="A36" s="16">
        <v>1</v>
      </c>
      <c r="B36" s="17">
        <v>35</v>
      </c>
      <c r="C36" s="17" t="str">
        <f>VLOOKUP(B36,[1]price!$A$10:$W$73,3,FALSE)</f>
        <v>דרום מזרח</v>
      </c>
      <c r="D36" s="17">
        <f>VLOOKUP(B36,[1]price!$A$10:$W$73,4,FALSE)</f>
        <v>3</v>
      </c>
      <c r="E36" s="17">
        <f>VLOOKUP(B36,[1]price!$A$10:$W$73,5,FALSE)</f>
        <v>14</v>
      </c>
      <c r="F36" s="18">
        <f>VLOOKUP(B36,[1]price!$A$10:$W$73,6,FALSE)</f>
        <v>4</v>
      </c>
      <c r="G36" s="17">
        <f>VLOOKUP(B36,[1]price!$A$10:$W$73,7,FALSE)</f>
        <v>66</v>
      </c>
      <c r="H36" s="17">
        <f>VLOOKUP(B36,[1]price!$A$10:$W$73,8,FALSE)</f>
        <v>80</v>
      </c>
      <c r="I36" s="17">
        <f>VLOOKUP(B36,[1]price!$A$10:$W$73,9,FALSE)</f>
        <v>15</v>
      </c>
      <c r="J36" s="19">
        <f>VLOOKUP(B36,[1]price!$A$10:$W$73,10,FALSE)</f>
        <v>85</v>
      </c>
      <c r="K36" s="20">
        <f>VLOOKUP(B36,[1]price!$A$10:$W$73,13,FALSE)</f>
        <v>2320000</v>
      </c>
      <c r="L36" s="17" t="str">
        <f>IF(VLOOKUP(B36,[1]price!$A$10:$W$73,23,FALSE) &lt;&gt; "","נמכר","")</f>
        <v>נמכר</v>
      </c>
      <c r="M36" s="21" t="s">
        <v>23</v>
      </c>
    </row>
    <row r="37" spans="1:13" ht="14.25" customHeight="1" x14ac:dyDescent="0.25">
      <c r="A37" s="16">
        <v>1</v>
      </c>
      <c r="B37" s="17">
        <v>36</v>
      </c>
      <c r="C37" s="17" t="str">
        <f>VLOOKUP(B37,[1]price!$A$10:$W$73,3,FALSE)</f>
        <v>דרום מערב</v>
      </c>
      <c r="D37" s="17">
        <f>VLOOKUP(B37,[1]price!$A$10:$W$73,4,FALSE)</f>
        <v>4</v>
      </c>
      <c r="E37" s="17">
        <f>VLOOKUP(B37,[1]price!$A$10:$W$73,5,FALSE)</f>
        <v>16</v>
      </c>
      <c r="F37" s="18">
        <f>VLOOKUP(B37,[1]price!$A$10:$W$73,6,FALSE)</f>
        <v>5</v>
      </c>
      <c r="G37" s="17">
        <f>VLOOKUP(B37,[1]price!$A$10:$W$73,7,FALSE)</f>
        <v>67</v>
      </c>
      <c r="H37" s="17">
        <f>VLOOKUP(B37,[1]price!$A$10:$W$73,8,FALSE)</f>
        <v>88</v>
      </c>
      <c r="I37" s="17">
        <f>VLOOKUP(B37,[1]price!$A$10:$W$73,9,FALSE)</f>
        <v>15</v>
      </c>
      <c r="J37" s="19">
        <f>VLOOKUP(B37,[1]price!$A$10:$W$73,10,FALSE)</f>
        <v>93</v>
      </c>
      <c r="K37" s="20">
        <f>VLOOKUP(B37,[1]price!$A$10:$W$73,13,FALSE)</f>
        <v>2407000</v>
      </c>
      <c r="L37" s="17" t="str">
        <f>IF(VLOOKUP(B37,[1]price!$A$10:$W$73,23,FALSE) &lt;&gt; "","נמכר","")</f>
        <v>נמכר</v>
      </c>
      <c r="M37" s="21" t="s">
        <v>24</v>
      </c>
    </row>
    <row r="38" spans="1:13" ht="14.25" customHeight="1" thickBot="1" x14ac:dyDescent="0.3">
      <c r="A38" s="22">
        <v>1</v>
      </c>
      <c r="B38" s="23">
        <v>37</v>
      </c>
      <c r="C38" s="23" t="str">
        <f>VLOOKUP(B38,[1]price!$A$10:$W$73,3,FALSE)</f>
        <v>צפון מערב</v>
      </c>
      <c r="D38" s="23">
        <f>VLOOKUP(B38,[1]price!$A$10:$W$73,4,FALSE)</f>
        <v>4</v>
      </c>
      <c r="E38" s="23">
        <f>VLOOKUP(B38,[1]price!$A$10:$W$73,5,FALSE)</f>
        <v>13</v>
      </c>
      <c r="F38" s="24">
        <f>VLOOKUP(B38,[1]price!$A$10:$W$73,6,FALSE)</f>
        <v>5</v>
      </c>
      <c r="G38" s="23">
        <f>VLOOKUP(B38,[1]price!$A$10:$W$73,7,FALSE)</f>
        <v>68</v>
      </c>
      <c r="H38" s="23">
        <f>VLOOKUP(B38,[1]price!$A$10:$W$73,8,FALSE)</f>
        <v>102</v>
      </c>
      <c r="I38" s="23">
        <f>VLOOKUP(B38,[1]price!$A$10:$W$73,9,FALSE)</f>
        <v>15</v>
      </c>
      <c r="J38" s="25">
        <f>VLOOKUP(B38,[1]price!$A$10:$W$73,10,FALSE)</f>
        <v>107</v>
      </c>
      <c r="K38" s="26">
        <f>VLOOKUP(B38,[1]price!$A$10:$W$73,13,FALSE)</f>
        <v>2648000</v>
      </c>
      <c r="L38" s="23" t="str">
        <f>IF(VLOOKUP(B38,[1]price!$A$10:$W$73,23,FALSE) &lt;&gt; "","נמכר","")</f>
        <v>נמכר</v>
      </c>
      <c r="M38" s="27" t="s">
        <v>25</v>
      </c>
    </row>
    <row r="39" spans="1:13" ht="14.25" customHeight="1" x14ac:dyDescent="0.25">
      <c r="A39" s="10">
        <v>2</v>
      </c>
      <c r="B39" s="11">
        <v>38</v>
      </c>
      <c r="C39" s="11" t="str">
        <f>VLOOKUP(B39,[1]price!$A$10:$W$73,3,FALSE)</f>
        <v>צפון מזרח</v>
      </c>
      <c r="D39" s="11">
        <f>VLOOKUP(B39,[1]price!$A$10:$W$73,4,FALSE)</f>
        <v>4</v>
      </c>
      <c r="E39" s="11">
        <f>VLOOKUP(B39,[1]price!$A$10:$W$73,5,FALSE)</f>
        <v>65</v>
      </c>
      <c r="F39" s="12">
        <f>VLOOKUP(B39,[1]price!$A$10:$W$73,6,FALSE)</f>
        <v>4.5</v>
      </c>
      <c r="G39" s="11">
        <f>VLOOKUP(B39,[1]price!$A$10:$W$73,7,FALSE)</f>
        <v>8</v>
      </c>
      <c r="H39" s="11">
        <f>VLOOKUP(B39,[1]price!$A$10:$W$73,8,FALSE)</f>
        <v>91</v>
      </c>
      <c r="I39" s="11">
        <f>VLOOKUP(B39,[1]price!$A$10:$W$73,9,FALSE)</f>
        <v>15</v>
      </c>
      <c r="J39" s="13">
        <f>VLOOKUP(B39,[1]price!$A$10:$W$73,10,FALSE)</f>
        <v>96</v>
      </c>
      <c r="K39" s="14">
        <f>VLOOKUP(B39,[1]price!$A$10:$W$73,13,FALSE)</f>
        <v>2584000</v>
      </c>
      <c r="L39" s="11" t="str">
        <f>IF(VLOOKUP(B39,[1]price!$A$10:$W$73,23,FALSE) &lt;&gt; "","נמכר","")</f>
        <v>נמכר</v>
      </c>
      <c r="M39" s="15" t="s">
        <v>22</v>
      </c>
    </row>
    <row r="40" spans="1:13" ht="14.25" customHeight="1" x14ac:dyDescent="0.25">
      <c r="A40" s="16">
        <v>2</v>
      </c>
      <c r="B40" s="17">
        <v>39</v>
      </c>
      <c r="C40" s="17" t="str">
        <f>VLOOKUP(B40,[1]price!$A$10:$W$73,3,FALSE)</f>
        <v>דרום מזרח</v>
      </c>
      <c r="D40" s="17">
        <f>VLOOKUP(B40,[1]price!$A$10:$W$73,4,FALSE)</f>
        <v>3</v>
      </c>
      <c r="E40" s="17">
        <f>VLOOKUP(B40,[1]price!$A$10:$W$73,5,FALSE)</f>
        <v>22</v>
      </c>
      <c r="F40" s="18">
        <f>VLOOKUP(B40,[1]price!$A$10:$W$73,6,FALSE)</f>
        <v>3.5</v>
      </c>
      <c r="G40" s="17">
        <f>VLOOKUP(B40,[1]price!$A$10:$W$73,7,FALSE)</f>
        <v>61</v>
      </c>
      <c r="H40" s="17">
        <f>VLOOKUP(B40,[1]price!$A$10:$W$73,8,FALSE)</f>
        <v>80</v>
      </c>
      <c r="I40" s="17">
        <f>VLOOKUP(B40,[1]price!$A$10:$W$73,9,FALSE)</f>
        <v>15</v>
      </c>
      <c r="J40" s="19">
        <f>VLOOKUP(B40,[1]price!$A$10:$W$73,10,FALSE)</f>
        <v>85</v>
      </c>
      <c r="K40" s="20">
        <f>VLOOKUP(B40,[1]price!$A$10:$W$73,13,FALSE)</f>
        <v>2360000</v>
      </c>
      <c r="L40" s="17" t="str">
        <f>IF(VLOOKUP(B40,[1]price!$A$10:$W$73,23,FALSE) &lt;&gt; "","נמכר","")</f>
        <v>נמכר</v>
      </c>
      <c r="M40" s="21" t="s">
        <v>23</v>
      </c>
    </row>
    <row r="41" spans="1:13" ht="14.25" customHeight="1" x14ac:dyDescent="0.25">
      <c r="A41" s="16">
        <v>2</v>
      </c>
      <c r="B41" s="17">
        <v>40</v>
      </c>
      <c r="C41" s="17" t="str">
        <f>VLOOKUP(B41,[1]price!$A$10:$W$73,3,FALSE)</f>
        <v>דרום מערב</v>
      </c>
      <c r="D41" s="17">
        <f>VLOOKUP(B41,[1]price!$A$10:$W$73,4,FALSE)</f>
        <v>4</v>
      </c>
      <c r="E41" s="17">
        <f>VLOOKUP(B41,[1]price!$A$10:$W$73,5,FALSE)</f>
        <v>11</v>
      </c>
      <c r="F41" s="18">
        <f>VLOOKUP(B41,[1]price!$A$10:$W$73,6,FALSE)</f>
        <v>5</v>
      </c>
      <c r="G41" s="17">
        <f>VLOOKUP(B41,[1]price!$A$10:$W$73,7,FALSE)</f>
        <v>60</v>
      </c>
      <c r="H41" s="17">
        <f>VLOOKUP(B41,[1]price!$A$10:$W$73,8,FALSE)</f>
        <v>88</v>
      </c>
      <c r="I41" s="17">
        <f>VLOOKUP(B41,[1]price!$A$10:$W$73,9,FALSE)</f>
        <v>15</v>
      </c>
      <c r="J41" s="19">
        <f>VLOOKUP(B41,[1]price!$A$10:$W$73,10,FALSE)</f>
        <v>93</v>
      </c>
      <c r="K41" s="20">
        <f>VLOOKUP(B41,[1]price!$A$10:$W$73,13,FALSE)</f>
        <v>2447000</v>
      </c>
      <c r="L41" s="17" t="str">
        <f>IF(VLOOKUP(B41,[1]price!$A$10:$W$73,23,FALSE) &lt;&gt; "","נמכר","")</f>
        <v>נמכר</v>
      </c>
      <c r="M41" s="21" t="s">
        <v>24</v>
      </c>
    </row>
    <row r="42" spans="1:13" ht="14.25" customHeight="1" thickBot="1" x14ac:dyDescent="0.3">
      <c r="A42" s="22">
        <v>2</v>
      </c>
      <c r="B42" s="23">
        <v>41</v>
      </c>
      <c r="C42" s="23" t="str">
        <f>VLOOKUP(B42,[1]price!$A$10:$W$73,3,FALSE)</f>
        <v>צפון מערב</v>
      </c>
      <c r="D42" s="23">
        <f>VLOOKUP(B42,[1]price!$A$10:$W$73,4,FALSE)</f>
        <v>4</v>
      </c>
      <c r="E42" s="23">
        <f>VLOOKUP(B42,[1]price!$A$10:$W$73,5,FALSE)</f>
        <v>66</v>
      </c>
      <c r="F42" s="24">
        <f>VLOOKUP(B42,[1]price!$A$10:$W$73,6,FALSE)</f>
        <v>4.5</v>
      </c>
      <c r="G42" s="23">
        <f>VLOOKUP(B42,[1]price!$A$10:$W$73,7,FALSE)</f>
        <v>7</v>
      </c>
      <c r="H42" s="23">
        <f>VLOOKUP(B42,[1]price!$A$10:$W$73,8,FALSE)</f>
        <v>102</v>
      </c>
      <c r="I42" s="23">
        <f>VLOOKUP(B42,[1]price!$A$10:$W$73,9,FALSE)</f>
        <v>15</v>
      </c>
      <c r="J42" s="25">
        <f>VLOOKUP(B42,[1]price!$A$10:$W$73,10,FALSE)</f>
        <v>107</v>
      </c>
      <c r="K42" s="26">
        <f>VLOOKUP(B42,[1]price!$A$10:$W$73,13,FALSE)</f>
        <v>2688000</v>
      </c>
      <c r="L42" s="23" t="str">
        <f>IF(VLOOKUP(B42,[1]price!$A$10:$W$73,23,FALSE) &lt;&gt; "","נמכר","")</f>
        <v>נמכר</v>
      </c>
      <c r="M42" s="27" t="s">
        <v>25</v>
      </c>
    </row>
    <row r="43" spans="1:13" ht="14.25" customHeight="1" x14ac:dyDescent="0.25">
      <c r="A43" s="10">
        <v>3</v>
      </c>
      <c r="B43" s="11">
        <v>42</v>
      </c>
      <c r="C43" s="11" t="str">
        <f>VLOOKUP(B43,[1]price!$A$10:$W$73,3,FALSE)</f>
        <v>צפון מזרח</v>
      </c>
      <c r="D43" s="11">
        <f>VLOOKUP(B43,[1]price!$A$10:$W$73,4,FALSE)</f>
        <v>4</v>
      </c>
      <c r="E43" s="11">
        <f>VLOOKUP(B43,[1]price!$A$10:$W$73,5,FALSE)</f>
        <v>35</v>
      </c>
      <c r="F43" s="12">
        <f>VLOOKUP(B43,[1]price!$A$10:$W$73,6,FALSE)</f>
        <v>3.5</v>
      </c>
      <c r="G43" s="11">
        <f>VLOOKUP(B43,[1]price!$A$10:$W$73,7,FALSE)</f>
        <v>52</v>
      </c>
      <c r="H43" s="11">
        <f>VLOOKUP(B43,[1]price!$A$10:$W$73,8,FALSE)</f>
        <v>91</v>
      </c>
      <c r="I43" s="11">
        <f>VLOOKUP(B43,[1]price!$A$10:$W$73,9,FALSE)</f>
        <v>15</v>
      </c>
      <c r="J43" s="13">
        <f>VLOOKUP(B43,[1]price!$A$10:$W$73,10,FALSE)</f>
        <v>96</v>
      </c>
      <c r="K43" s="14">
        <f>VLOOKUP(B43,[1]price!$A$10:$W$73,13,FALSE)</f>
        <v>2624000</v>
      </c>
      <c r="L43" s="11" t="str">
        <f>IF(VLOOKUP(B43,[1]price!$A$10:$W$73,23,FALSE) &lt;&gt; "","נמכר","")</f>
        <v/>
      </c>
      <c r="M43" s="15" t="s">
        <v>22</v>
      </c>
    </row>
    <row r="44" spans="1:13" ht="14.25" customHeight="1" x14ac:dyDescent="0.25">
      <c r="A44" s="16">
        <v>3</v>
      </c>
      <c r="B44" s="17">
        <v>43</v>
      </c>
      <c r="C44" s="17" t="str">
        <f>VLOOKUP(B44,[1]price!$A$10:$W$73,3,FALSE)</f>
        <v>דרום מזרח</v>
      </c>
      <c r="D44" s="17">
        <f>VLOOKUP(B44,[1]price!$A$10:$W$73,4,FALSE)</f>
        <v>3</v>
      </c>
      <c r="E44" s="17">
        <f>VLOOKUP(B44,[1]price!$A$10:$W$73,5,FALSE)</f>
        <v>21</v>
      </c>
      <c r="F44" s="18">
        <f>VLOOKUP(B44,[1]price!$A$10:$W$73,6,FALSE)</f>
        <v>3</v>
      </c>
      <c r="G44" s="17">
        <f>VLOOKUP(B44,[1]price!$A$10:$W$73,7,FALSE)</f>
        <v>56</v>
      </c>
      <c r="H44" s="17">
        <f>VLOOKUP(B44,[1]price!$A$10:$W$73,8,FALSE)</f>
        <v>80</v>
      </c>
      <c r="I44" s="17">
        <f>VLOOKUP(B44,[1]price!$A$10:$W$73,9,FALSE)</f>
        <v>15</v>
      </c>
      <c r="J44" s="19">
        <f>VLOOKUP(B44,[1]price!$A$10:$W$73,10,FALSE)</f>
        <v>85</v>
      </c>
      <c r="K44" s="20">
        <f>VLOOKUP(B44,[1]price!$A$10:$W$73,13,FALSE)</f>
        <v>2400000</v>
      </c>
      <c r="L44" s="17" t="str">
        <f>IF(VLOOKUP(B44,[1]price!$A$10:$W$73,23,FALSE) &lt;&gt; "","נמכר","")</f>
        <v/>
      </c>
      <c r="M44" s="21" t="s">
        <v>23</v>
      </c>
    </row>
    <row r="45" spans="1:13" ht="14.25" customHeight="1" x14ac:dyDescent="0.25">
      <c r="A45" s="16">
        <v>3</v>
      </c>
      <c r="B45" s="17">
        <v>44</v>
      </c>
      <c r="C45" s="17" t="str">
        <f>VLOOKUP(B45,[1]price!$A$10:$W$73,3,FALSE)</f>
        <v>דרום מערב</v>
      </c>
      <c r="D45" s="17">
        <f>VLOOKUP(B45,[1]price!$A$10:$W$73,4,FALSE)</f>
        <v>4</v>
      </c>
      <c r="E45" s="17">
        <f>VLOOKUP(B45,[1]price!$A$10:$W$73,5,FALSE)</f>
        <v>26</v>
      </c>
      <c r="F45" s="18">
        <f>VLOOKUP(B45,[1]price!$A$10:$W$73,6,FALSE)</f>
        <v>4.5</v>
      </c>
      <c r="G45" s="17">
        <f>VLOOKUP(B45,[1]price!$A$10:$W$73,7,FALSE)</f>
        <v>32</v>
      </c>
      <c r="H45" s="17">
        <f>VLOOKUP(B45,[1]price!$A$10:$W$73,8,FALSE)</f>
        <v>88</v>
      </c>
      <c r="I45" s="17">
        <f>VLOOKUP(B45,[1]price!$A$10:$W$73,9,FALSE)</f>
        <v>15</v>
      </c>
      <c r="J45" s="19">
        <f>VLOOKUP(B45,[1]price!$A$10:$W$73,10,FALSE)</f>
        <v>93</v>
      </c>
      <c r="K45" s="20">
        <f>VLOOKUP(B45,[1]price!$A$10:$W$73,13,FALSE)</f>
        <v>2487000</v>
      </c>
      <c r="L45" s="17" t="str">
        <f>IF(VLOOKUP(B45,[1]price!$A$10:$W$73,23,FALSE) &lt;&gt; "","נמכר","")</f>
        <v>נמכר</v>
      </c>
      <c r="M45" s="21" t="s">
        <v>24</v>
      </c>
    </row>
    <row r="46" spans="1:13" ht="14.25" customHeight="1" thickBot="1" x14ac:dyDescent="0.3">
      <c r="A46" s="22">
        <v>3</v>
      </c>
      <c r="B46" s="23">
        <v>45</v>
      </c>
      <c r="C46" s="23" t="str">
        <f>VLOOKUP(B46,[1]price!$A$10:$W$73,3,FALSE)</f>
        <v>צפון מערב</v>
      </c>
      <c r="D46" s="23">
        <f>VLOOKUP(B46,[1]price!$A$10:$W$73,4,FALSE)</f>
        <v>4</v>
      </c>
      <c r="E46" s="23">
        <f>VLOOKUP(B46,[1]price!$A$10:$W$73,5,FALSE)</f>
        <v>36</v>
      </c>
      <c r="F46" s="24">
        <f>VLOOKUP(B46,[1]price!$A$10:$W$73,6,FALSE)</f>
        <v>4.5</v>
      </c>
      <c r="G46" s="23">
        <f>VLOOKUP(B46,[1]price!$A$10:$W$73,7,FALSE)</f>
        <v>53</v>
      </c>
      <c r="H46" s="23">
        <f>VLOOKUP(B46,[1]price!$A$10:$W$73,8,FALSE)</f>
        <v>102</v>
      </c>
      <c r="I46" s="23">
        <f>VLOOKUP(B46,[1]price!$A$10:$W$73,9,FALSE)</f>
        <v>15</v>
      </c>
      <c r="J46" s="25">
        <f>VLOOKUP(B46,[1]price!$A$10:$W$73,10,FALSE)</f>
        <v>107</v>
      </c>
      <c r="K46" s="26">
        <f>VLOOKUP(B46,[1]price!$A$10:$W$73,13,FALSE)</f>
        <v>2728000</v>
      </c>
      <c r="L46" s="23" t="str">
        <f>IF(VLOOKUP(B46,[1]price!$A$10:$W$73,23,FALSE) &lt;&gt; "","נמכר","")</f>
        <v>נמכר</v>
      </c>
      <c r="M46" s="27" t="s">
        <v>25</v>
      </c>
    </row>
    <row r="47" spans="1:13" ht="14.25" customHeight="1" x14ac:dyDescent="0.25">
      <c r="A47" s="10">
        <v>4</v>
      </c>
      <c r="B47" s="11">
        <v>46</v>
      </c>
      <c r="C47" s="11" t="str">
        <f>VLOOKUP(B47,[1]price!$A$10:$W$73,3,FALSE)</f>
        <v>צפון מזרח</v>
      </c>
      <c r="D47" s="11">
        <f>VLOOKUP(B47,[1]price!$A$10:$W$73,4,FALSE)</f>
        <v>4</v>
      </c>
      <c r="E47" s="11">
        <f>VLOOKUP(B47,[1]price!$A$10:$W$73,5,FALSE)</f>
        <v>1</v>
      </c>
      <c r="F47" s="12">
        <f>VLOOKUP(B47,[1]price!$A$10:$W$73,6,FALSE)</f>
        <v>3</v>
      </c>
      <c r="G47" s="11">
        <f>VLOOKUP(B47,[1]price!$A$10:$W$73,7,FALSE)</f>
        <v>57</v>
      </c>
      <c r="H47" s="11">
        <f>VLOOKUP(B47,[1]price!$A$10:$W$73,8,FALSE)</f>
        <v>91</v>
      </c>
      <c r="I47" s="11">
        <f>VLOOKUP(B47,[1]price!$A$10:$W$73,9,FALSE)</f>
        <v>15</v>
      </c>
      <c r="J47" s="13">
        <f>VLOOKUP(B47,[1]price!$A$10:$W$73,10,FALSE)</f>
        <v>96</v>
      </c>
      <c r="K47" s="14">
        <f>VLOOKUP(B47,[1]price!$A$10:$W$73,13,FALSE)</f>
        <v>2664000</v>
      </c>
      <c r="L47" s="11" t="str">
        <f>IF(VLOOKUP(B47,[1]price!$A$10:$W$73,23,FALSE) &lt;&gt; "","נמכר","")</f>
        <v/>
      </c>
      <c r="M47" s="15" t="s">
        <v>22</v>
      </c>
    </row>
    <row r="48" spans="1:13" ht="14.25" customHeight="1" x14ac:dyDescent="0.25">
      <c r="A48" s="16">
        <v>4</v>
      </c>
      <c r="B48" s="17">
        <v>47</v>
      </c>
      <c r="C48" s="17" t="str">
        <f>VLOOKUP(B48,[1]price!$A$10:$W$73,3,FALSE)</f>
        <v>דרום מזרח</v>
      </c>
      <c r="D48" s="17">
        <f>VLOOKUP(B48,[1]price!$A$10:$W$73,4,FALSE)</f>
        <v>3</v>
      </c>
      <c r="E48" s="17">
        <f>VLOOKUP(B48,[1]price!$A$10:$W$73,5,FALSE)</f>
        <v>20</v>
      </c>
      <c r="F48" s="18">
        <f>VLOOKUP(B48,[1]price!$A$10:$W$73,6,FALSE)</f>
        <v>3.5</v>
      </c>
      <c r="G48" s="17">
        <f>VLOOKUP(B48,[1]price!$A$10:$W$73,7,FALSE)</f>
        <v>59</v>
      </c>
      <c r="H48" s="17">
        <f>VLOOKUP(B48,[1]price!$A$10:$W$73,8,FALSE)</f>
        <v>80</v>
      </c>
      <c r="I48" s="17">
        <f>VLOOKUP(B48,[1]price!$A$10:$W$73,9,FALSE)</f>
        <v>15</v>
      </c>
      <c r="J48" s="19">
        <f>VLOOKUP(B48,[1]price!$A$10:$W$73,10,FALSE)</f>
        <v>85</v>
      </c>
      <c r="K48" s="20">
        <f>VLOOKUP(B48,[1]price!$A$10:$W$73,13,FALSE)</f>
        <v>2440000</v>
      </c>
      <c r="L48" s="17" t="str">
        <f>IF(VLOOKUP(B48,[1]price!$A$10:$W$73,23,FALSE) &lt;&gt; "","נמכר","")</f>
        <v/>
      </c>
      <c r="M48" s="21" t="s">
        <v>23</v>
      </c>
    </row>
    <row r="49" spans="1:13" ht="14.25" customHeight="1" x14ac:dyDescent="0.25">
      <c r="A49" s="16">
        <v>4</v>
      </c>
      <c r="B49" s="17">
        <v>48</v>
      </c>
      <c r="C49" s="17" t="str">
        <f>VLOOKUP(B49,[1]price!$A$10:$W$73,3,FALSE)</f>
        <v>דרום מערב</v>
      </c>
      <c r="D49" s="17">
        <f>VLOOKUP(B49,[1]price!$A$10:$W$73,4,FALSE)</f>
        <v>4</v>
      </c>
      <c r="E49" s="17">
        <f>VLOOKUP(B49,[1]price!$A$10:$W$73,5,FALSE)</f>
        <v>8</v>
      </c>
      <c r="F49" s="18">
        <f>VLOOKUP(B49,[1]price!$A$10:$W$73,6,FALSE)</f>
        <v>4</v>
      </c>
      <c r="G49" s="17">
        <f>VLOOKUP(B49,[1]price!$A$10:$W$73,7,FALSE)</f>
        <v>15</v>
      </c>
      <c r="H49" s="17">
        <f>VLOOKUP(B49,[1]price!$A$10:$W$73,8,FALSE)</f>
        <v>88</v>
      </c>
      <c r="I49" s="17">
        <f>VLOOKUP(B49,[1]price!$A$10:$W$73,9,FALSE)</f>
        <v>15</v>
      </c>
      <c r="J49" s="19">
        <f>VLOOKUP(B49,[1]price!$A$10:$W$73,10,FALSE)</f>
        <v>93</v>
      </c>
      <c r="K49" s="20">
        <f>VLOOKUP(B49,[1]price!$A$10:$W$73,13,FALSE)</f>
        <v>2527000</v>
      </c>
      <c r="L49" s="17" t="str">
        <f>IF(VLOOKUP(B49,[1]price!$A$10:$W$73,23,FALSE) &lt;&gt; "","נמכר","")</f>
        <v>נמכר</v>
      </c>
      <c r="M49" s="21" t="s">
        <v>24</v>
      </c>
    </row>
    <row r="50" spans="1:13" ht="14.25" customHeight="1" thickBot="1" x14ac:dyDescent="0.3">
      <c r="A50" s="22">
        <v>4</v>
      </c>
      <c r="B50" s="23">
        <v>49</v>
      </c>
      <c r="C50" s="23" t="str">
        <f>VLOOKUP(B50,[1]price!$A$10:$W$73,3,FALSE)</f>
        <v>צפון מערב</v>
      </c>
      <c r="D50" s="23">
        <f>VLOOKUP(B50,[1]price!$A$10:$W$73,4,FALSE)</f>
        <v>4</v>
      </c>
      <c r="E50" s="23">
        <f>VLOOKUP(B50,[1]price!$A$10:$W$73,5,FALSE)</f>
        <v>12</v>
      </c>
      <c r="F50" s="24">
        <f>VLOOKUP(B50,[1]price!$A$10:$W$73,6,FALSE)</f>
        <v>5</v>
      </c>
      <c r="G50" s="23">
        <f>VLOOKUP(B50,[1]price!$A$10:$W$73,7,FALSE)</f>
        <v>54</v>
      </c>
      <c r="H50" s="23">
        <f>VLOOKUP(B50,[1]price!$A$10:$W$73,8,FALSE)</f>
        <v>102</v>
      </c>
      <c r="I50" s="23">
        <f>VLOOKUP(B50,[1]price!$A$10:$W$73,9,FALSE)</f>
        <v>15</v>
      </c>
      <c r="J50" s="25">
        <f>VLOOKUP(B50,[1]price!$A$10:$W$73,10,FALSE)</f>
        <v>107</v>
      </c>
      <c r="K50" s="26">
        <f>VLOOKUP(B50,[1]price!$A$10:$W$73,13,FALSE)</f>
        <v>2768000</v>
      </c>
      <c r="L50" s="23" t="str">
        <f>IF(VLOOKUP(B50,[1]price!$A$10:$W$73,23,FALSE) &lt;&gt; "","נמכר","")</f>
        <v>נמכר</v>
      </c>
      <c r="M50" s="27" t="s">
        <v>25</v>
      </c>
    </row>
    <row r="51" spans="1:13" ht="14.25" customHeight="1" x14ac:dyDescent="0.25">
      <c r="A51" s="10">
        <v>5</v>
      </c>
      <c r="B51" s="11">
        <v>50</v>
      </c>
      <c r="C51" s="11" t="str">
        <f>VLOOKUP(B51,[1]price!$A$10:$W$73,3,FALSE)</f>
        <v>צפון מזרח</v>
      </c>
      <c r="D51" s="11">
        <f>VLOOKUP(B51,[1]price!$A$10:$W$73,4,FALSE)</f>
        <v>4</v>
      </c>
      <c r="E51" s="11">
        <f>VLOOKUP(B51,[1]price!$A$10:$W$73,5,FALSE)</f>
        <v>28</v>
      </c>
      <c r="F51" s="12">
        <f>VLOOKUP(B51,[1]price!$A$10:$W$73,6,FALSE)</f>
        <v>4</v>
      </c>
      <c r="G51" s="11">
        <f>VLOOKUP(B51,[1]price!$A$10:$W$73,7,FALSE)</f>
        <v>50</v>
      </c>
      <c r="H51" s="11">
        <f>VLOOKUP(B51,[1]price!$A$10:$W$73,8,FALSE)</f>
        <v>91</v>
      </c>
      <c r="I51" s="11">
        <f>VLOOKUP(B51,[1]price!$A$10:$W$73,9,FALSE)</f>
        <v>15</v>
      </c>
      <c r="J51" s="13">
        <f>VLOOKUP(B51,[1]price!$A$10:$W$73,10,FALSE)</f>
        <v>96</v>
      </c>
      <c r="K51" s="14">
        <f>VLOOKUP(B51,[1]price!$A$10:$W$73,13,FALSE)</f>
        <v>2704000</v>
      </c>
      <c r="L51" s="11" t="str">
        <f>IF(VLOOKUP(B51,[1]price!$A$10:$W$73,23,FALSE) &lt;&gt; "","נמכר","")</f>
        <v/>
      </c>
      <c r="M51" s="15" t="s">
        <v>22</v>
      </c>
    </row>
    <row r="52" spans="1:13" ht="14.25" customHeight="1" x14ac:dyDescent="0.25">
      <c r="A52" s="16">
        <v>5</v>
      </c>
      <c r="B52" s="17">
        <v>51</v>
      </c>
      <c r="C52" s="17" t="str">
        <f>VLOOKUP(B52,[1]price!$A$10:$W$73,3,FALSE)</f>
        <v>דרום מזרח</v>
      </c>
      <c r="D52" s="17">
        <f>VLOOKUP(B52,[1]price!$A$10:$W$73,4,FALSE)</f>
        <v>3</v>
      </c>
      <c r="E52" s="17">
        <f>VLOOKUP(B52,[1]price!$A$10:$W$73,5,FALSE)</f>
        <v>2</v>
      </c>
      <c r="F52" s="18">
        <f>VLOOKUP(B52,[1]price!$A$10:$W$73,6,FALSE)</f>
        <v>5.5</v>
      </c>
      <c r="G52" s="17">
        <f>VLOOKUP(B52,[1]price!$A$10:$W$73,7,FALSE)</f>
        <v>44</v>
      </c>
      <c r="H52" s="17">
        <f>VLOOKUP(B52,[1]price!$A$10:$W$73,8,FALSE)</f>
        <v>80</v>
      </c>
      <c r="I52" s="17">
        <f>VLOOKUP(B52,[1]price!$A$10:$W$73,9,FALSE)</f>
        <v>15</v>
      </c>
      <c r="J52" s="19">
        <f>VLOOKUP(B52,[1]price!$A$10:$W$73,10,FALSE)</f>
        <v>85</v>
      </c>
      <c r="K52" s="20">
        <f>VLOOKUP(B52,[1]price!$A$10:$W$73,13,FALSE)</f>
        <v>2480000</v>
      </c>
      <c r="L52" s="17" t="str">
        <f>IF(VLOOKUP(B52,[1]price!$A$10:$W$73,23,FALSE) &lt;&gt; "","נמכר","")</f>
        <v/>
      </c>
      <c r="M52" s="21" t="s">
        <v>23</v>
      </c>
    </row>
    <row r="53" spans="1:13" ht="14.25" customHeight="1" x14ac:dyDescent="0.25">
      <c r="A53" s="16">
        <v>5</v>
      </c>
      <c r="B53" s="17">
        <v>52</v>
      </c>
      <c r="C53" s="17" t="str">
        <f>VLOOKUP(B53,[1]price!$A$10:$W$73,3,FALSE)</f>
        <v>דרום מערב</v>
      </c>
      <c r="D53" s="17">
        <f>VLOOKUP(B53,[1]price!$A$10:$W$73,4,FALSE)</f>
        <v>4</v>
      </c>
      <c r="E53" s="17">
        <f>VLOOKUP(B53,[1]price!$A$10:$W$73,5,FALSE)</f>
        <v>27</v>
      </c>
      <c r="F53" s="18">
        <f>VLOOKUP(B53,[1]price!$A$10:$W$73,6,FALSE)</f>
        <v>4</v>
      </c>
      <c r="G53" s="17">
        <f>VLOOKUP(B53,[1]price!$A$10:$W$73,7,FALSE)</f>
        <v>55</v>
      </c>
      <c r="H53" s="17">
        <f>VLOOKUP(B53,[1]price!$A$10:$W$73,8,FALSE)</f>
        <v>88</v>
      </c>
      <c r="I53" s="17">
        <f>VLOOKUP(B53,[1]price!$A$10:$W$73,9,FALSE)</f>
        <v>15</v>
      </c>
      <c r="J53" s="19">
        <f>VLOOKUP(B53,[1]price!$A$10:$W$73,10,FALSE)</f>
        <v>93</v>
      </c>
      <c r="K53" s="20">
        <f>VLOOKUP(B53,[1]price!$A$10:$W$73,13,FALSE)</f>
        <v>2567000</v>
      </c>
      <c r="L53" s="17" t="str">
        <f>IF(VLOOKUP(B53,[1]price!$A$10:$W$73,23,FALSE) &lt;&gt; "","נמכר","")</f>
        <v/>
      </c>
      <c r="M53" s="21" t="s">
        <v>24</v>
      </c>
    </row>
    <row r="54" spans="1:13" ht="14.25" customHeight="1" thickBot="1" x14ac:dyDescent="0.3">
      <c r="A54" s="22">
        <v>5</v>
      </c>
      <c r="B54" s="23">
        <v>53</v>
      </c>
      <c r="C54" s="23" t="str">
        <f>VLOOKUP(B54,[1]price!$A$10:$W$73,3,FALSE)</f>
        <v>צפון מערב</v>
      </c>
      <c r="D54" s="23">
        <f>VLOOKUP(B54,[1]price!$A$10:$W$73,4,FALSE)</f>
        <v>4</v>
      </c>
      <c r="E54" s="23">
        <f>VLOOKUP(B54,[1]price!$A$10:$W$73,5,FALSE)</f>
        <v>3</v>
      </c>
      <c r="F54" s="24">
        <f>VLOOKUP(B54,[1]price!$A$10:$W$73,6,FALSE)</f>
        <v>5.5</v>
      </c>
      <c r="G54" s="23">
        <f>VLOOKUP(B54,[1]price!$A$10:$W$73,7,FALSE)</f>
        <v>51</v>
      </c>
      <c r="H54" s="23">
        <f>VLOOKUP(B54,[1]price!$A$10:$W$73,8,FALSE)</f>
        <v>102</v>
      </c>
      <c r="I54" s="23">
        <f>VLOOKUP(B54,[1]price!$A$10:$W$73,9,FALSE)</f>
        <v>15</v>
      </c>
      <c r="J54" s="25">
        <f>VLOOKUP(B54,[1]price!$A$10:$W$73,10,FALSE)</f>
        <v>107</v>
      </c>
      <c r="K54" s="26">
        <f>VLOOKUP(B54,[1]price!$A$10:$W$73,13,FALSE)</f>
        <v>2808000</v>
      </c>
      <c r="L54" s="23" t="str">
        <f>IF(VLOOKUP(B54,[1]price!$A$10:$W$73,23,FALSE) &lt;&gt; "","נמכר","")</f>
        <v>נמכר</v>
      </c>
      <c r="M54" s="27" t="s">
        <v>25</v>
      </c>
    </row>
    <row r="55" spans="1:13" ht="14.25" customHeight="1" x14ac:dyDescent="0.25">
      <c r="A55" s="10">
        <v>6</v>
      </c>
      <c r="B55" s="11">
        <v>54</v>
      </c>
      <c r="C55" s="11" t="str">
        <f>VLOOKUP(B55,[1]price!$A$10:$W$73,3,FALSE)</f>
        <v>צפון מזרח</v>
      </c>
      <c r="D55" s="11">
        <f>VLOOKUP(B55,[1]price!$A$10:$W$73,4,FALSE)</f>
        <v>4</v>
      </c>
      <c r="E55" s="11">
        <f>VLOOKUP(B55,[1]price!$A$10:$W$73,5,FALSE)</f>
        <v>5</v>
      </c>
      <c r="F55" s="12">
        <f>VLOOKUP(B55,[1]price!$A$10:$W$73,6,FALSE)</f>
        <v>6.5</v>
      </c>
      <c r="G55" s="11">
        <f>VLOOKUP(B55,[1]price!$A$10:$W$73,7,FALSE)</f>
        <v>45</v>
      </c>
      <c r="H55" s="11">
        <f>VLOOKUP(B55,[1]price!$A$10:$W$73,8,FALSE)</f>
        <v>91</v>
      </c>
      <c r="I55" s="11">
        <f>VLOOKUP(B55,[1]price!$A$10:$W$73,9,FALSE)</f>
        <v>15</v>
      </c>
      <c r="J55" s="13">
        <f>VLOOKUP(B55,[1]price!$A$10:$W$73,10,FALSE)</f>
        <v>96</v>
      </c>
      <c r="K55" s="14">
        <f>VLOOKUP(B55,[1]price!$A$10:$W$73,13,FALSE)</f>
        <v>2744000</v>
      </c>
      <c r="L55" s="11" t="str">
        <f>IF(VLOOKUP(B55,[1]price!$A$10:$W$73,23,FALSE) &lt;&gt; "","נמכר","")</f>
        <v/>
      </c>
      <c r="M55" s="15" t="s">
        <v>22</v>
      </c>
    </row>
    <row r="56" spans="1:13" ht="14.25" customHeight="1" x14ac:dyDescent="0.25">
      <c r="A56" s="16">
        <v>6</v>
      </c>
      <c r="B56" s="17">
        <v>55</v>
      </c>
      <c r="C56" s="17" t="str">
        <f>VLOOKUP(B56,[1]price!$A$10:$W$73,3,FALSE)</f>
        <v>דרום מזרח</v>
      </c>
      <c r="D56" s="17">
        <f>VLOOKUP(B56,[1]price!$A$10:$W$73,4,FALSE)</f>
        <v>3</v>
      </c>
      <c r="E56" s="17">
        <f>VLOOKUP(B56,[1]price!$A$10:$W$73,5,FALSE)</f>
        <v>34</v>
      </c>
      <c r="F56" s="18">
        <f>VLOOKUP(B56,[1]price!$A$10:$W$73,6,FALSE)</f>
        <v>6.5</v>
      </c>
      <c r="G56" s="17">
        <f>VLOOKUP(B56,[1]price!$A$10:$W$73,7,FALSE)</f>
        <v>33</v>
      </c>
      <c r="H56" s="17">
        <f>VLOOKUP(B56,[1]price!$A$10:$W$73,8,FALSE)</f>
        <v>80</v>
      </c>
      <c r="I56" s="17">
        <f>VLOOKUP(B56,[1]price!$A$10:$W$73,9,FALSE)</f>
        <v>15</v>
      </c>
      <c r="J56" s="19">
        <f>VLOOKUP(B56,[1]price!$A$10:$W$73,10,FALSE)</f>
        <v>85</v>
      </c>
      <c r="K56" s="20">
        <f>VLOOKUP(B56,[1]price!$A$10:$W$73,13,FALSE)</f>
        <v>2520000</v>
      </c>
      <c r="L56" s="17" t="str">
        <f>IF(VLOOKUP(B56,[1]price!$A$10:$W$73,23,FALSE) &lt;&gt; "","נמכר","")</f>
        <v/>
      </c>
      <c r="M56" s="21" t="s">
        <v>23</v>
      </c>
    </row>
    <row r="57" spans="1:13" ht="14.25" customHeight="1" x14ac:dyDescent="0.25">
      <c r="A57" s="16">
        <v>6</v>
      </c>
      <c r="B57" s="17">
        <v>56</v>
      </c>
      <c r="C57" s="17" t="str">
        <f>VLOOKUP(B57,[1]price!$A$10:$W$73,3,FALSE)</f>
        <v>דרום מערב</v>
      </c>
      <c r="D57" s="17">
        <f>VLOOKUP(B57,[1]price!$A$10:$W$73,4,FALSE)</f>
        <v>4</v>
      </c>
      <c r="E57" s="17">
        <f>VLOOKUP(B57,[1]price!$A$10:$W$73,5,FALSE)</f>
        <v>64</v>
      </c>
      <c r="F57" s="18">
        <f>VLOOKUP(B57,[1]price!$A$10:$W$73,6,FALSE)</f>
        <v>4</v>
      </c>
      <c r="G57" s="17">
        <f>VLOOKUP(B57,[1]price!$A$10:$W$73,7,FALSE)</f>
        <v>58</v>
      </c>
      <c r="H57" s="17">
        <f>VLOOKUP(B57,[1]price!$A$10:$W$73,8,FALSE)</f>
        <v>88</v>
      </c>
      <c r="I57" s="17">
        <f>VLOOKUP(B57,[1]price!$A$10:$W$73,9,FALSE)</f>
        <v>15</v>
      </c>
      <c r="J57" s="19">
        <f>VLOOKUP(B57,[1]price!$A$10:$W$73,10,FALSE)</f>
        <v>93</v>
      </c>
      <c r="K57" s="20">
        <f>VLOOKUP(B57,[1]price!$A$10:$W$73,13,FALSE)</f>
        <v>2607000</v>
      </c>
      <c r="L57" s="17" t="str">
        <f>IF(VLOOKUP(B57,[1]price!$A$10:$W$73,23,FALSE) &lt;&gt; "","נמכר","")</f>
        <v/>
      </c>
      <c r="M57" s="21" t="s">
        <v>24</v>
      </c>
    </row>
    <row r="58" spans="1:13" ht="14.25" customHeight="1" thickBot="1" x14ac:dyDescent="0.3">
      <c r="A58" s="22">
        <v>6</v>
      </c>
      <c r="B58" s="23">
        <v>57</v>
      </c>
      <c r="C58" s="23" t="str">
        <f>VLOOKUP(B58,[1]price!$A$10:$W$73,3,FALSE)</f>
        <v>צפון מערב</v>
      </c>
      <c r="D58" s="23">
        <f>VLOOKUP(B58,[1]price!$A$10:$W$73,4,FALSE)</f>
        <v>4</v>
      </c>
      <c r="E58" s="23">
        <f>VLOOKUP(B58,[1]price!$A$10:$W$73,5,FALSE)</f>
        <v>4</v>
      </c>
      <c r="F58" s="24">
        <f>VLOOKUP(B58,[1]price!$A$10:$W$73,6,FALSE)</f>
        <v>7</v>
      </c>
      <c r="G58" s="23">
        <f>VLOOKUP(B58,[1]price!$A$10:$W$73,7,FALSE)</f>
        <v>47</v>
      </c>
      <c r="H58" s="23">
        <f>VLOOKUP(B58,[1]price!$A$10:$W$73,8,FALSE)</f>
        <v>102</v>
      </c>
      <c r="I58" s="23">
        <f>VLOOKUP(B58,[1]price!$A$10:$W$73,9,FALSE)</f>
        <v>15</v>
      </c>
      <c r="J58" s="25">
        <f>VLOOKUP(B58,[1]price!$A$10:$W$73,10,FALSE)</f>
        <v>107</v>
      </c>
      <c r="K58" s="26">
        <f>VLOOKUP(B58,[1]price!$A$10:$W$73,13,FALSE)</f>
        <v>2848000</v>
      </c>
      <c r="L58" s="23" t="str">
        <f>IF(VLOOKUP(B58,[1]price!$A$10:$W$73,23,FALSE) &lt;&gt; "","נמכר","")</f>
        <v/>
      </c>
      <c r="M58" s="27" t="s">
        <v>25</v>
      </c>
    </row>
    <row r="59" spans="1:13" ht="14.25" customHeight="1" x14ac:dyDescent="0.25">
      <c r="A59" s="10">
        <v>7</v>
      </c>
      <c r="B59" s="11">
        <v>58</v>
      </c>
      <c r="C59" s="11" t="str">
        <f>VLOOKUP(B59,[1]price!$A$10:$W$73,3,FALSE)</f>
        <v>צפון מזרח</v>
      </c>
      <c r="D59" s="11">
        <f>VLOOKUP(B59,[1]price!$A$10:$W$73,4,FALSE)</f>
        <v>4</v>
      </c>
      <c r="E59" s="11">
        <f>VLOOKUP(B59,[1]price!$A$10:$W$73,5,FALSE)</f>
        <v>19</v>
      </c>
      <c r="F59" s="12">
        <f>VLOOKUP(B59,[1]price!$A$10:$W$73,6,FALSE)</f>
        <v>6</v>
      </c>
      <c r="G59" s="11">
        <f>VLOOKUP(B59,[1]price!$A$10:$W$73,7,FALSE)</f>
        <v>49</v>
      </c>
      <c r="H59" s="11">
        <f>VLOOKUP(B59,[1]price!$A$10:$W$73,8,FALSE)</f>
        <v>93</v>
      </c>
      <c r="I59" s="11">
        <f>VLOOKUP(B59,[1]price!$A$10:$W$73,9,FALSE)</f>
        <v>15</v>
      </c>
      <c r="J59" s="13">
        <f>VLOOKUP(B59,[1]price!$A$10:$W$73,10,FALSE)</f>
        <v>98</v>
      </c>
      <c r="K59" s="14">
        <f>VLOOKUP(B59,[1]price!$A$10:$W$73,13,FALSE)</f>
        <v>2882000</v>
      </c>
      <c r="L59" s="11" t="str">
        <f>IF(VLOOKUP(B59,[1]price!$A$10:$W$73,23,FALSE) &lt;&gt; "","נמכר","")</f>
        <v/>
      </c>
      <c r="M59" s="15" t="s">
        <v>22</v>
      </c>
    </row>
    <row r="60" spans="1:13" ht="14.25" customHeight="1" x14ac:dyDescent="0.25">
      <c r="A60" s="16">
        <v>7</v>
      </c>
      <c r="B60" s="17">
        <v>59</v>
      </c>
      <c r="C60" s="17" t="str">
        <f>VLOOKUP(B60,[1]price!$A$10:$W$73,3,FALSE)</f>
        <v>דרום מזרח</v>
      </c>
      <c r="D60" s="17">
        <f>VLOOKUP(B60,[1]price!$A$10:$W$73,4,FALSE)</f>
        <v>3</v>
      </c>
      <c r="E60" s="17">
        <f>VLOOKUP(B60,[1]price!$A$10:$W$73,5,FALSE)</f>
        <v>9</v>
      </c>
      <c r="F60" s="18">
        <f>VLOOKUP(B60,[1]price!$A$10:$W$73,6,FALSE)</f>
        <v>5.5</v>
      </c>
      <c r="G60" s="17">
        <f>VLOOKUP(B60,[1]price!$A$10:$W$73,7,FALSE)</f>
        <v>17</v>
      </c>
      <c r="H60" s="17">
        <f>VLOOKUP(B60,[1]price!$A$10:$W$73,8,FALSE)</f>
        <v>82</v>
      </c>
      <c r="I60" s="17">
        <f>VLOOKUP(B60,[1]price!$A$10:$W$73,9,FALSE)</f>
        <v>15</v>
      </c>
      <c r="J60" s="19">
        <f>VLOOKUP(B60,[1]price!$A$10:$W$73,10,FALSE)</f>
        <v>87</v>
      </c>
      <c r="K60" s="20">
        <f>VLOOKUP(B60,[1]price!$A$10:$W$73,13,FALSE)</f>
        <v>2658000</v>
      </c>
      <c r="L60" s="17" t="str">
        <f>IF(VLOOKUP(B60,[1]price!$A$10:$W$73,23,FALSE) &lt;&gt; "","נמכר","")</f>
        <v/>
      </c>
      <c r="M60" s="21" t="s">
        <v>23</v>
      </c>
    </row>
    <row r="61" spans="1:13" ht="14.25" customHeight="1" x14ac:dyDescent="0.25">
      <c r="A61" s="16">
        <v>7</v>
      </c>
      <c r="B61" s="17">
        <v>60</v>
      </c>
      <c r="C61" s="17" t="str">
        <f>VLOOKUP(B61,[1]price!$A$10:$W$73,3,FALSE)</f>
        <v>דרום מערב</v>
      </c>
      <c r="D61" s="17">
        <f>VLOOKUP(B61,[1]price!$A$10:$W$73,4,FALSE)</f>
        <v>4</v>
      </c>
      <c r="E61" s="17">
        <f>VLOOKUP(B61,[1]price!$A$10:$W$73,5,FALSE)</f>
        <v>17</v>
      </c>
      <c r="F61" s="18">
        <f>VLOOKUP(B61,[1]price!$A$10:$W$73,6,FALSE)</f>
        <v>5</v>
      </c>
      <c r="G61" s="17">
        <f>VLOOKUP(B61,[1]price!$A$10:$W$73,7,FALSE)</f>
        <v>28</v>
      </c>
      <c r="H61" s="17">
        <f>VLOOKUP(B61,[1]price!$A$10:$W$73,8,FALSE)</f>
        <v>88</v>
      </c>
      <c r="I61" s="17">
        <f>VLOOKUP(B61,[1]price!$A$10:$W$73,9,FALSE)</f>
        <v>15</v>
      </c>
      <c r="J61" s="19">
        <f>VLOOKUP(B61,[1]price!$A$10:$W$73,10,FALSE)</f>
        <v>93</v>
      </c>
      <c r="K61" s="20">
        <f>VLOOKUP(B61,[1]price!$A$10:$W$73,13,FALSE)</f>
        <v>2697000</v>
      </c>
      <c r="L61" s="17" t="str">
        <f>IF(VLOOKUP(B61,[1]price!$A$10:$W$73,23,FALSE) &lt;&gt; "","נמכר","")</f>
        <v/>
      </c>
      <c r="M61" s="21" t="s">
        <v>24</v>
      </c>
    </row>
    <row r="62" spans="1:13" ht="14.25" customHeight="1" thickBot="1" x14ac:dyDescent="0.3">
      <c r="A62" s="22">
        <v>7</v>
      </c>
      <c r="B62" s="23">
        <v>61</v>
      </c>
      <c r="C62" s="23" t="str">
        <f>VLOOKUP(B62,[1]price!$A$10:$W$73,3,FALSE)</f>
        <v>צפון מערב</v>
      </c>
      <c r="D62" s="23">
        <f>VLOOKUP(B62,[1]price!$A$10:$W$73,4,FALSE)</f>
        <v>4</v>
      </c>
      <c r="E62" s="23">
        <f>VLOOKUP(B62,[1]price!$A$10:$W$73,5,FALSE)</f>
        <v>18</v>
      </c>
      <c r="F62" s="24">
        <f>VLOOKUP(B62,[1]price!$A$10:$W$73,6,FALSE)</f>
        <v>6.5</v>
      </c>
      <c r="G62" s="23">
        <f>VLOOKUP(B62,[1]price!$A$10:$W$73,7,FALSE)</f>
        <v>48</v>
      </c>
      <c r="H62" s="23">
        <f>VLOOKUP(B62,[1]price!$A$10:$W$73,8,FALSE)</f>
        <v>102</v>
      </c>
      <c r="I62" s="23">
        <f>VLOOKUP(B62,[1]price!$A$10:$W$73,9,FALSE)</f>
        <v>15</v>
      </c>
      <c r="J62" s="25">
        <f>VLOOKUP(B62,[1]price!$A$10:$W$73,10,FALSE)</f>
        <v>107</v>
      </c>
      <c r="K62" s="26">
        <f>VLOOKUP(B62,[1]price!$A$10:$W$73,13,FALSE)</f>
        <v>2938000</v>
      </c>
      <c r="L62" s="23" t="str">
        <f>IF(VLOOKUP(B62,[1]price!$A$10:$W$73,23,FALSE) &lt;&gt; "","נמכר","")</f>
        <v>נמכר</v>
      </c>
      <c r="M62" s="27" t="s">
        <v>25</v>
      </c>
    </row>
    <row r="63" spans="1:13" ht="14.25" customHeight="1" x14ac:dyDescent="0.25">
      <c r="A63" s="16">
        <v>8</v>
      </c>
      <c r="B63" s="17">
        <v>62</v>
      </c>
      <c r="C63" s="17" t="str">
        <f>VLOOKUP(B63,[1]price!$A$10:$W$73,3,FALSE)</f>
        <v>צפון דרום מזרח</v>
      </c>
      <c r="D63" s="17">
        <f>VLOOKUP(B63,[1]price!$A$10:$W$73,4,FALSE)</f>
        <v>5</v>
      </c>
      <c r="E63" s="17">
        <f>VLOOKUP(B63,[1]price!$A$10:$W$73,5,FALSE)</f>
        <v>62</v>
      </c>
      <c r="F63" s="18">
        <f>VLOOKUP(B63,[1]price!$A$10:$W$73,6,FALSE)</f>
        <v>5</v>
      </c>
      <c r="G63" s="17">
        <f>VLOOKUP(B63,[1]price!$A$10:$W$73,7,FALSE)</f>
        <v>27</v>
      </c>
      <c r="H63" s="17">
        <f>VLOOKUP(B63,[1]price!$A$10:$W$73,8,FALSE)</f>
        <v>120</v>
      </c>
      <c r="I63" s="17">
        <f>VLOOKUP(B63,[1]price!$A$10:$W$73,9,FALSE)</f>
        <v>64</v>
      </c>
      <c r="J63" s="19">
        <f>VLOOKUP(B63,[1]price!$A$10:$W$73,10,FALSE)</f>
        <v>142</v>
      </c>
      <c r="K63" s="20">
        <f>VLOOKUP(B63,[1]price!$A$10:$W$73,13,FALSE)</f>
        <v>4200000</v>
      </c>
      <c r="L63" s="17" t="str">
        <f>IF(VLOOKUP(B63,[1]price!$A$10:$W$73,23,FALSE) &lt;&gt; "","נמכר","")</f>
        <v/>
      </c>
      <c r="M63" s="21" t="s">
        <v>26</v>
      </c>
    </row>
    <row r="64" spans="1:13" ht="14.25" customHeight="1" thickBot="1" x14ac:dyDescent="0.3">
      <c r="A64" s="22">
        <v>8</v>
      </c>
      <c r="B64" s="23">
        <v>63</v>
      </c>
      <c r="C64" s="23" t="str">
        <f>VLOOKUP(B64,[1]price!$A$10:$W$73,3,FALSE)</f>
        <v>צפון דרום מערב</v>
      </c>
      <c r="D64" s="23">
        <f>VLOOKUP(B64,[1]price!$A$10:$W$73,4,FALSE)</f>
        <v>5</v>
      </c>
      <c r="E64" s="23">
        <f>VLOOKUP(B64,[1]price!$A$10:$W$73,5,FALSE)</f>
        <v>63</v>
      </c>
      <c r="F64" s="24">
        <f>VLOOKUP(B64,[1]price!$A$10:$W$73,6,FALSE)</f>
        <v>5</v>
      </c>
      <c r="G64" s="23">
        <f>VLOOKUP(B64,[1]price!$A$10:$W$73,7,FALSE)</f>
        <v>26</v>
      </c>
      <c r="H64" s="23">
        <f>VLOOKUP(B64,[1]price!$A$10:$W$73,8,FALSE)</f>
        <v>148</v>
      </c>
      <c r="I64" s="23">
        <f>VLOOKUP(B64,[1]price!$A$10:$W$73,9,FALSE)</f>
        <v>49</v>
      </c>
      <c r="J64" s="25">
        <f>VLOOKUP(B64,[1]price!$A$10:$W$73,10,FALSE)</f>
        <v>165</v>
      </c>
      <c r="K64" s="26">
        <f>VLOOKUP(B64,[1]price!$A$10:$W$73,13,FALSE)</f>
        <v>4500000</v>
      </c>
      <c r="L64" s="23" t="str">
        <f>IF(VLOOKUP(B64,[1]price!$A$10:$W$73,23,FALSE) &lt;&gt; "","נמכר","")</f>
        <v/>
      </c>
      <c r="M64" s="27" t="s">
        <v>27</v>
      </c>
    </row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:M64" xr:uid="{00000000-0009-0000-0000-000001000000}"/>
  <conditionalFormatting sqref="A2:A64">
    <cfRule type="expression" dxfId="0" priority="1">
      <formula>$A2=#REF!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דשבורד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מיכל גדות גמליאלי</dc:creator>
  <cp:lastModifiedBy>מיכל גדות גמליאלי</cp:lastModifiedBy>
  <dcterms:created xsi:type="dcterms:W3CDTF">2026-05-18T08:19:57Z</dcterms:created>
  <dcterms:modified xsi:type="dcterms:W3CDTF">2026-05-18T18:19:34Z</dcterms:modified>
</cp:coreProperties>
</file>